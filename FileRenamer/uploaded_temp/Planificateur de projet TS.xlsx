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linebousquet/Documents/"/>
    </mc:Choice>
  </mc:AlternateContent>
  <xr:revisionPtr revIDLastSave="0" documentId="13_ncr:1_{5E8AB5A3-44E6-A941-B47B-FA5BC7AA9F20}" xr6:coauthVersionLast="47" xr6:coauthVersionMax="47" xr10:uidLastSave="{00000000-0000-0000-0000-000000000000}"/>
  <bookViews>
    <workbookView xWindow="0" yWindow="740" windowWidth="29400" windowHeight="16660" xr2:uid="{E527EFBF-92C5-DA4D-BC60-B16D467D4D47}"/>
  </bookViews>
  <sheets>
    <sheet name="Feuil1" sheetId="1" r:id="rId1"/>
  </sheets>
  <externalReferences>
    <externalReference r:id="rId2"/>
  </externalReferences>
  <definedNames>
    <definedName name="période_sélectionnée">'[1]Planificateur de projet'!$H$2</definedName>
    <definedName name="PériodeDansPlan">'[1]Planificateur de projet'!A$4=MEDIAN('[1]Planificateur de projet'!A$4,'[1]Planificateur de projet'!$C1,'[1]Planificateur de projet'!$C1+'[1]Planificateur de projet'!$D1-1)</definedName>
    <definedName name="PériodeDansRéel">'[1]Planificateur de projet'!A$4=MEDIAN('[1]Planificateur de projet'!A$4,'[1]Planificateur de projet'!$E1,'[1]Planificateur de projet'!$E1+'[1]Planificateur de projet'!$F1-1)</definedName>
    <definedName name="Plan">PériodeDansPlan*('[1]Planificateur de projet'!$C1&gt;0)</definedName>
    <definedName name="PourcentageAccompli">PourcentageAccompliAuDelà*PériodeDansPlan</definedName>
    <definedName name="PourcentageAccompliAuDelà">('[1]Planificateur de projet'!A$4=MEDIAN('[1]Planificateur de projet'!A$4,'[1]Planificateur de projet'!$E1,'[1]Planificateur de projet'!$E1+'[1]Planificateur de projet'!$F1)*('[1]Planificateur de projet'!$E1&gt;0))*(('[1]Planificateur de projet'!A$4&lt;(INT('[1]Planificateur de projet'!$E1+'[1]Planificateur de projet'!$F1*'[1]Planificateur de projet'!$G1)))+('[1]Planificateur de projet'!A$4='[1]Planificateur de projet'!$E1))*('[1]Planificateur de projet'!$G1&gt;0)</definedName>
    <definedName name="Réel">(PériodeDansRéel*('[1]Planificateur de projet'!$E1&gt;0))*PériodeDansPlan</definedName>
    <definedName name="RéelAuDelà">PériodeDansRéel*('[1]Planificateur de projet'!$E1&gt;0)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20" i="1"/>
  <c r="F11" i="1" a="1"/>
  <c r="F11" i="1" s="1"/>
  <c r="F12" i="1" a="1"/>
  <c r="F12" i="1"/>
  <c r="F13" i="1" a="1"/>
  <c r="F13" i="1" s="1"/>
  <c r="F14" i="1" a="1"/>
  <c r="F14" i="1" s="1"/>
  <c r="F15" i="1" a="1"/>
  <c r="F15" i="1" s="1"/>
  <c r="F16" i="1" a="1"/>
  <c r="F16" i="1"/>
  <c r="F17" i="1" a="1"/>
  <c r="F17" i="1"/>
  <c r="F18" i="1" a="1"/>
  <c r="F18" i="1" s="1"/>
  <c r="F19" i="1" a="1"/>
  <c r="F19" i="1" s="1"/>
  <c r="F20" i="1" a="1"/>
  <c r="F20" i="1"/>
  <c r="F21" i="1" a="1"/>
  <c r="F21" i="1"/>
  <c r="F22" i="1" a="1"/>
  <c r="F22" i="1" s="1"/>
  <c r="F23" i="1" a="1"/>
  <c r="F23" i="1" s="1"/>
  <c r="F24" i="1" a="1"/>
  <c r="F24" i="1"/>
  <c r="F25" i="1" a="1"/>
  <c r="F25" i="1"/>
  <c r="F26" i="1" a="1"/>
  <c r="F26" i="1" s="1"/>
  <c r="F27" i="1" a="1"/>
  <c r="F27" i="1" s="1"/>
  <c r="F10" i="1" a="1"/>
  <c r="F10" i="1" s="1"/>
  <c r="F6" i="1" a="1"/>
  <c r="F6" i="1" s="1"/>
  <c r="F7" i="1" a="1"/>
  <c r="F7" i="1" s="1"/>
  <c r="F8" i="1" a="1"/>
  <c r="F8" i="1"/>
  <c r="F9" i="1" a="1"/>
  <c r="F9" i="1"/>
  <c r="F5" i="1" a="1"/>
  <c r="F5" i="1" s="1"/>
  <c r="E6" i="1"/>
  <c r="E7" i="1"/>
  <c r="E8" i="1"/>
  <c r="E9" i="1"/>
  <c r="E10" i="1"/>
  <c r="E11" i="1"/>
  <c r="E5" i="1"/>
  <c r="H9" i="1"/>
  <c r="H6" i="1"/>
  <c r="H7" i="1"/>
  <c r="H8" i="1"/>
  <c r="H10" i="1"/>
  <c r="H11" i="1"/>
  <c r="H12" i="1"/>
  <c r="H13" i="1"/>
  <c r="H14" i="1"/>
  <c r="H15" i="1"/>
  <c r="H21" i="1"/>
  <c r="H5" i="1"/>
  <c r="I4" i="1"/>
  <c r="I15" i="1" s="1"/>
  <c r="I22" i="1" l="1"/>
  <c r="I8" i="1"/>
  <c r="I7" i="1"/>
  <c r="I16" i="1"/>
  <c r="J4" i="1"/>
  <c r="I9" i="1"/>
  <c r="I17" i="1"/>
  <c r="I25" i="1"/>
  <c r="I21" i="1"/>
  <c r="I10" i="1"/>
  <c r="I18" i="1"/>
  <c r="I26" i="1"/>
  <c r="I13" i="1"/>
  <c r="I6" i="1"/>
  <c r="I11" i="1"/>
  <c r="I19" i="1"/>
  <c r="I27" i="1"/>
  <c r="I12" i="1"/>
  <c r="I20" i="1"/>
  <c r="I5" i="1"/>
  <c r="I14" i="1"/>
  <c r="I24" i="1"/>
  <c r="I23" i="1"/>
  <c r="K4" i="1" l="1"/>
  <c r="J8" i="1"/>
  <c r="J16" i="1"/>
  <c r="J24" i="1"/>
  <c r="J12" i="1"/>
  <c r="J9" i="1"/>
  <c r="J17" i="1"/>
  <c r="J25" i="1"/>
  <c r="J5" i="1"/>
  <c r="J10" i="1"/>
  <c r="J18" i="1"/>
  <c r="J26" i="1"/>
  <c r="J6" i="1"/>
  <c r="J11" i="1"/>
  <c r="J19" i="1"/>
  <c r="J27" i="1"/>
  <c r="J20" i="1"/>
  <c r="J13" i="1"/>
  <c r="J21" i="1"/>
  <c r="J15" i="1"/>
  <c r="J22" i="1"/>
  <c r="J7" i="1"/>
  <c r="J23" i="1"/>
  <c r="J14" i="1"/>
  <c r="L4" i="1" l="1"/>
  <c r="K13" i="1"/>
  <c r="K21" i="1"/>
  <c r="K10" i="1"/>
  <c r="K6" i="1"/>
  <c r="K14" i="1"/>
  <c r="K22" i="1"/>
  <c r="K25" i="1"/>
  <c r="K18" i="1"/>
  <c r="K7" i="1"/>
  <c r="K15" i="1"/>
  <c r="K23" i="1"/>
  <c r="K9" i="1"/>
  <c r="K26" i="1"/>
  <c r="K8" i="1"/>
  <c r="K16" i="1"/>
  <c r="K24" i="1"/>
  <c r="K17" i="1"/>
  <c r="K11" i="1"/>
  <c r="K12" i="1"/>
  <c r="K19" i="1"/>
  <c r="K5" i="1"/>
  <c r="K20" i="1"/>
  <c r="K27" i="1"/>
  <c r="M4" i="1" l="1"/>
  <c r="M10" i="1" s="1"/>
  <c r="L12" i="1"/>
  <c r="L20" i="1"/>
  <c r="L6" i="1"/>
  <c r="L24" i="1"/>
  <c r="L9" i="1"/>
  <c r="L13" i="1"/>
  <c r="L21" i="1"/>
  <c r="L16" i="1"/>
  <c r="L17" i="1"/>
  <c r="L14" i="1"/>
  <c r="L22" i="1"/>
  <c r="L7" i="1"/>
  <c r="L15" i="1"/>
  <c r="L23" i="1"/>
  <c r="L8" i="1"/>
  <c r="L25" i="1"/>
  <c r="L11" i="1"/>
  <c r="L5" i="1"/>
  <c r="L10" i="1"/>
  <c r="L18" i="1"/>
  <c r="L27" i="1"/>
  <c r="L19" i="1"/>
  <c r="L26" i="1"/>
  <c r="N4" i="1" l="1"/>
  <c r="M9" i="1"/>
  <c r="M17" i="1"/>
  <c r="M25" i="1"/>
  <c r="M21" i="1"/>
  <c r="M18" i="1"/>
  <c r="M26" i="1"/>
  <c r="M13" i="1"/>
  <c r="M22" i="1"/>
  <c r="M11" i="1"/>
  <c r="M19" i="1"/>
  <c r="M27" i="1"/>
  <c r="M6" i="1"/>
  <c r="M12" i="1"/>
  <c r="M20" i="1"/>
  <c r="M14" i="1"/>
  <c r="M23" i="1"/>
  <c r="M8" i="1"/>
  <c r="M24" i="1"/>
  <c r="M7" i="1"/>
  <c r="M15" i="1"/>
  <c r="M16" i="1"/>
  <c r="M5" i="1"/>
  <c r="O4" i="1" l="1"/>
  <c r="N7" i="1"/>
  <c r="N15" i="1"/>
  <c r="N23" i="1"/>
  <c r="N5" i="1"/>
  <c r="N27" i="1"/>
  <c r="N20" i="1"/>
  <c r="N8" i="1"/>
  <c r="N16" i="1"/>
  <c r="N24" i="1"/>
  <c r="N12" i="1"/>
  <c r="N9" i="1"/>
  <c r="N17" i="1"/>
  <c r="N25" i="1"/>
  <c r="N11" i="1"/>
  <c r="N10" i="1"/>
  <c r="N18" i="1"/>
  <c r="N26" i="1"/>
  <c r="N19" i="1"/>
  <c r="N13" i="1"/>
  <c r="N6" i="1"/>
  <c r="N14" i="1"/>
  <c r="N21" i="1"/>
  <c r="N22" i="1"/>
  <c r="P4" i="1" l="1"/>
  <c r="O13" i="1"/>
  <c r="O21" i="1"/>
  <c r="O17" i="1"/>
  <c r="O10" i="1"/>
  <c r="O6" i="1"/>
  <c r="O14" i="1"/>
  <c r="O22" i="1"/>
  <c r="O5" i="1"/>
  <c r="O25" i="1"/>
  <c r="O7" i="1"/>
  <c r="O15" i="1"/>
  <c r="O23" i="1"/>
  <c r="O9" i="1"/>
  <c r="O18" i="1"/>
  <c r="O8" i="1"/>
  <c r="O16" i="1"/>
  <c r="O24" i="1"/>
  <c r="O26" i="1"/>
  <c r="O12" i="1"/>
  <c r="O19" i="1"/>
  <c r="O27" i="1"/>
  <c r="O11" i="1"/>
  <c r="O20" i="1"/>
  <c r="Q4" i="1" l="1"/>
  <c r="P11" i="1"/>
  <c r="P19" i="1"/>
  <c r="P27" i="1"/>
  <c r="P15" i="1"/>
  <c r="P12" i="1"/>
  <c r="P20" i="1"/>
  <c r="P24" i="1"/>
  <c r="P13" i="1"/>
  <c r="P21" i="1"/>
  <c r="P5" i="1"/>
  <c r="P7" i="1"/>
  <c r="P8" i="1"/>
  <c r="P6" i="1"/>
  <c r="P14" i="1"/>
  <c r="P22" i="1"/>
  <c r="P23" i="1"/>
  <c r="P16" i="1"/>
  <c r="P25" i="1"/>
  <c r="P26" i="1"/>
  <c r="P10" i="1"/>
  <c r="P9" i="1"/>
  <c r="P17" i="1"/>
  <c r="P18" i="1"/>
  <c r="R4" i="1" l="1"/>
  <c r="Q9" i="1"/>
  <c r="Q17" i="1"/>
  <c r="Q25" i="1"/>
  <c r="Q21" i="1"/>
  <c r="Q22" i="1"/>
  <c r="Q10" i="1"/>
  <c r="Q18" i="1"/>
  <c r="Q26" i="1"/>
  <c r="Q5" i="1"/>
  <c r="Q14" i="1"/>
  <c r="Q11" i="1"/>
  <c r="Q19" i="1"/>
  <c r="Q27" i="1"/>
  <c r="Q13" i="1"/>
  <c r="Q12" i="1"/>
  <c r="Q20" i="1"/>
  <c r="Q6" i="1"/>
  <c r="Q15" i="1"/>
  <c r="Q16" i="1"/>
  <c r="Q7" i="1"/>
  <c r="Q8" i="1"/>
  <c r="Q23" i="1"/>
  <c r="Q24" i="1"/>
  <c r="S4" i="1" l="1"/>
  <c r="R9" i="1"/>
  <c r="R17" i="1"/>
  <c r="R25" i="1"/>
  <c r="R21" i="1"/>
  <c r="R14" i="1"/>
  <c r="R10" i="1"/>
  <c r="R18" i="1"/>
  <c r="R26" i="1"/>
  <c r="R11" i="1"/>
  <c r="R19" i="1"/>
  <c r="R27" i="1"/>
  <c r="R13" i="1"/>
  <c r="R22" i="1"/>
  <c r="R12" i="1"/>
  <c r="R20" i="1"/>
  <c r="R6" i="1"/>
  <c r="R5" i="1"/>
  <c r="R7" i="1"/>
  <c r="R24" i="1"/>
  <c r="R8" i="1"/>
  <c r="R16" i="1"/>
  <c r="R15" i="1"/>
  <c r="R23" i="1"/>
  <c r="T4" i="1" l="1"/>
  <c r="S7" i="1"/>
  <c r="S15" i="1"/>
  <c r="S23" i="1"/>
  <c r="S11" i="1"/>
  <c r="S5" i="1"/>
  <c r="S12" i="1"/>
  <c r="S8" i="1"/>
  <c r="S16" i="1"/>
  <c r="S24" i="1"/>
  <c r="S19" i="1"/>
  <c r="S6" i="1"/>
  <c r="S9" i="1"/>
  <c r="S17" i="1"/>
  <c r="S25" i="1"/>
  <c r="S10" i="1"/>
  <c r="S18" i="1"/>
  <c r="S26" i="1"/>
  <c r="S27" i="1"/>
  <c r="S20" i="1"/>
  <c r="S21" i="1"/>
  <c r="S22" i="1"/>
  <c r="S13" i="1"/>
  <c r="S14" i="1"/>
  <c r="U4" i="1" l="1"/>
  <c r="T13" i="1"/>
  <c r="T21" i="1"/>
  <c r="T14" i="1"/>
  <c r="T22" i="1"/>
  <c r="T9" i="1"/>
  <c r="T18" i="1"/>
  <c r="T7" i="1"/>
  <c r="T15" i="1"/>
  <c r="T23" i="1"/>
  <c r="T25" i="1"/>
  <c r="T26" i="1"/>
  <c r="T8" i="1"/>
  <c r="T16" i="1"/>
  <c r="T24" i="1"/>
  <c r="T17" i="1"/>
  <c r="T10" i="1"/>
  <c r="T19" i="1"/>
  <c r="T20" i="1"/>
  <c r="T5" i="1"/>
  <c r="T11" i="1"/>
  <c r="T27" i="1"/>
  <c r="T6" i="1"/>
  <c r="T12" i="1"/>
  <c r="V4" i="1" l="1"/>
  <c r="U11" i="1"/>
  <c r="U19" i="1"/>
  <c r="U27" i="1"/>
  <c r="U23" i="1"/>
  <c r="U24" i="1"/>
  <c r="U12" i="1"/>
  <c r="U20" i="1"/>
  <c r="U6" i="1"/>
  <c r="U16" i="1"/>
  <c r="U13" i="1"/>
  <c r="U21" i="1"/>
  <c r="U7" i="1"/>
  <c r="U8" i="1"/>
  <c r="U14" i="1"/>
  <c r="U22" i="1"/>
  <c r="U15" i="1"/>
  <c r="U9" i="1"/>
  <c r="U26" i="1"/>
  <c r="U10" i="1"/>
  <c r="U17" i="1"/>
  <c r="U18" i="1"/>
  <c r="U25" i="1"/>
  <c r="U5" i="1"/>
  <c r="W4" i="1" l="1"/>
  <c r="V9" i="1"/>
  <c r="V17" i="1"/>
  <c r="V25" i="1"/>
  <c r="V13" i="1"/>
  <c r="V22" i="1"/>
  <c r="V10" i="1"/>
  <c r="V18" i="1"/>
  <c r="V26" i="1"/>
  <c r="V21" i="1"/>
  <c r="V14" i="1"/>
  <c r="V11" i="1"/>
  <c r="V19" i="1"/>
  <c r="V27" i="1"/>
  <c r="V12" i="1"/>
  <c r="V20" i="1"/>
  <c r="V6" i="1"/>
  <c r="V8" i="1"/>
  <c r="V15" i="1"/>
  <c r="V24" i="1"/>
  <c r="V7" i="1"/>
  <c r="V23" i="1"/>
  <c r="V5" i="1"/>
  <c r="V16" i="1"/>
  <c r="X4" i="1" l="1"/>
  <c r="W7" i="1"/>
  <c r="W15" i="1"/>
  <c r="W23" i="1"/>
  <c r="W5" i="1"/>
  <c r="W20" i="1"/>
  <c r="W8" i="1"/>
  <c r="W16" i="1"/>
  <c r="W24" i="1"/>
  <c r="W11" i="1"/>
  <c r="W9" i="1"/>
  <c r="W17" i="1"/>
  <c r="W25" i="1"/>
  <c r="W19" i="1"/>
  <c r="W12" i="1"/>
  <c r="W10" i="1"/>
  <c r="W18" i="1"/>
  <c r="W26" i="1"/>
  <c r="W27" i="1"/>
  <c r="W6" i="1"/>
  <c r="W21" i="1"/>
  <c r="W13" i="1"/>
  <c r="W14" i="1"/>
  <c r="W22" i="1"/>
  <c r="Y4" i="1" l="1"/>
  <c r="X13" i="1"/>
  <c r="X21" i="1"/>
  <c r="X17" i="1"/>
  <c r="X18" i="1"/>
  <c r="X14" i="1"/>
  <c r="X22" i="1"/>
  <c r="X5" i="1"/>
  <c r="X10" i="1"/>
  <c r="X26" i="1"/>
  <c r="X7" i="1"/>
  <c r="X15" i="1"/>
  <c r="X23" i="1"/>
  <c r="X9" i="1"/>
  <c r="X8" i="1"/>
  <c r="X16" i="1"/>
  <c r="X24" i="1"/>
  <c r="X25" i="1"/>
  <c r="X11" i="1"/>
  <c r="X12" i="1"/>
  <c r="X19" i="1"/>
  <c r="X20" i="1"/>
  <c r="X27" i="1"/>
  <c r="X6" i="1"/>
  <c r="Z4" i="1" l="1"/>
  <c r="Y11" i="1"/>
  <c r="Y19" i="1"/>
  <c r="Y27" i="1"/>
  <c r="Y16" i="1"/>
  <c r="Y24" i="1"/>
  <c r="Y12" i="1"/>
  <c r="Y20" i="1"/>
  <c r="Y6" i="1"/>
  <c r="Y8" i="1"/>
  <c r="Y13" i="1"/>
  <c r="Y21" i="1"/>
  <c r="Y5" i="1"/>
  <c r="Y14" i="1"/>
  <c r="Y22" i="1"/>
  <c r="Y7" i="1"/>
  <c r="Y15" i="1"/>
  <c r="Y23" i="1"/>
  <c r="Y18" i="1"/>
  <c r="Y17" i="1"/>
  <c r="Y25" i="1"/>
  <c r="Y9" i="1"/>
  <c r="Y10" i="1"/>
  <c r="Y26" i="1"/>
  <c r="AA4" i="1" l="1"/>
  <c r="Z9" i="1"/>
  <c r="Z17" i="1"/>
  <c r="Z25" i="1"/>
  <c r="Z22" i="1"/>
  <c r="Z10" i="1"/>
  <c r="Z18" i="1"/>
  <c r="Z26" i="1"/>
  <c r="Z11" i="1"/>
  <c r="Z19" i="1"/>
  <c r="Z27" i="1"/>
  <c r="Z13" i="1"/>
  <c r="Z12" i="1"/>
  <c r="Z20" i="1"/>
  <c r="Z6" i="1"/>
  <c r="Z5" i="1"/>
  <c r="Z21" i="1"/>
  <c r="Z14" i="1"/>
  <c r="Z23" i="1"/>
  <c r="Z24" i="1"/>
  <c r="Z15" i="1"/>
  <c r="Z7" i="1"/>
  <c r="Z16" i="1"/>
  <c r="Z8" i="1"/>
  <c r="AA7" i="1" l="1"/>
  <c r="AA15" i="1"/>
  <c r="AA23" i="1"/>
  <c r="AA27" i="1"/>
  <c r="AA12" i="1"/>
  <c r="AA8" i="1"/>
  <c r="AA16" i="1"/>
  <c r="AA24" i="1"/>
  <c r="AA11" i="1"/>
  <c r="AA5" i="1"/>
  <c r="AA20" i="1"/>
  <c r="AA9" i="1"/>
  <c r="AA17" i="1"/>
  <c r="AA25" i="1"/>
  <c r="AA6" i="1"/>
  <c r="AA10" i="1"/>
  <c r="AA18" i="1"/>
  <c r="AA26" i="1"/>
  <c r="AA19" i="1"/>
  <c r="AA13" i="1"/>
  <c r="AA14" i="1"/>
  <c r="AA21" i="1"/>
  <c r="AA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<sst xmlns="http://schemas.openxmlformats.org/spreadsheetml/2006/main" count="24" uniqueCount="21">
  <si>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Plate 315-322</t>
  </si>
  <si>
    <t>Plate 322-330</t>
  </si>
  <si>
    <t>STATUT</t>
  </si>
  <si>
    <t>ANALYSIS</t>
  </si>
  <si>
    <t>REORDER</t>
  </si>
  <si>
    <t>NOT STARTED</t>
  </si>
  <si>
    <t>Plate 330-340</t>
  </si>
  <si>
    <t>Plate 330-341</t>
  </si>
  <si>
    <t>Plate 330-342</t>
  </si>
  <si>
    <t>Plate 338-342 + 329bis</t>
  </si>
  <si>
    <t>Plate 330bis-338</t>
  </si>
  <si>
    <t>TASK</t>
  </si>
  <si>
    <t>START</t>
  </si>
  <si>
    <t>END</t>
  </si>
  <si>
    <t>SCHEDULE</t>
  </si>
  <si>
    <t>Project Planaificator : Target Screen</t>
  </si>
  <si>
    <t>% of avencment</t>
  </si>
  <si>
    <t>RORDER</t>
  </si>
  <si>
    <t>EXP N1/N2</t>
  </si>
  <si>
    <t>NOTSTARTED/DONE</t>
  </si>
  <si>
    <t>REAL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</si>
</sst>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13" x14ac:knownFonts="1"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 Light"/>
      <family val="2"/>
      <scheme val="major"/>
    </font>
    <font>
      <b/>
      <sz val="24"/>
      <color theme="3" tint="-0.249977111117893"/>
      <name val="Calibri"/>
      <family val="2"/>
      <scheme val="minor"/>
    </font>
    <font>
      <b/>
      <sz val="13"/>
      <color theme="3" tint="-0.249977111117893"/>
      <name val="Calibri (Corps)"/>
    </font>
    <font>
      <sz val="12"/>
      <color theme="3" tint="-0.249977111117893"/>
      <name val="Calibri (Corps)"/>
    </font>
    <font>
      <sz val="8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80D6"/>
        <bgColor indexed="64"/>
      </patternFill>
    </fill>
    <fill>
      <patternFill patternType="solid">
        <fgColor rgb="FFAB4CAA"/>
        <bgColor indexed="64"/>
      </patternFill>
    </fill>
    <fill>
      <patternFill patternType="solid">
        <fgColor rgb="FFFFADD6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1" tint="4.9989318521683403E-2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0" applyFill="0" applyBorder="0" applyProtection="0">
      <alignment horizontal="center" wrapText="1"/>
    </xf>
    <xf numFmtId="3" fontId="3" fillId="0" borderId="3" applyFill="0" applyProtection="0">
      <alignment horizontal="center"/>
    </xf>
    <xf numFmtId="0" fontId="4" fillId="0" borderId="0" applyFill="0" applyBorder="0" applyProtection="0">
      <alignment horizontal="left" wrapText="1"/>
    </xf>
    <xf numFmtId="9" fontId="7" fillId="0" borderId="0" applyFill="0" applyBorder="0" applyProtection="0">
      <alignment horizontal="center" vertical="center"/>
    </xf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2" fillId="0" borderId="0" xfId="3" applyAlignment="1">
      <alignment horizontal="left"/>
    </xf>
    <xf numFmtId="0" fontId="3" fillId="0" borderId="0" xfId="4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8" fillId="0" borderId="0" xfId="0" applyFont="1"/>
    <xf numFmtId="0" fontId="0" fillId="0" borderId="4" xfId="0" applyBorder="1" applyAlignment="1">
      <alignment horizontal="center" vertical="center"/>
    </xf>
    <xf numFmtId="14" fontId="3" fillId="0" borderId="4" xfId="5" applyNumberFormat="1" applyBorder="1">
      <alignment horizontal="center"/>
    </xf>
    <xf numFmtId="0" fontId="0" fillId="0" borderId="0" xfId="0" applyBorder="1"/>
    <xf numFmtId="14" fontId="6" fillId="0" borderId="0" xfId="0" applyNumberFormat="1" applyFont="1" applyBorder="1" applyAlignment="1">
      <alignment horizontal="center"/>
    </xf>
    <xf numFmtId="0" fontId="10" fillId="0" borderId="0" xfId="0" applyFont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/>
    <xf numFmtId="0" fontId="10" fillId="0" borderId="5" xfId="0" applyFont="1" applyBorder="1"/>
    <xf numFmtId="0" fontId="0" fillId="0" borderId="5" xfId="0" applyBorder="1" applyAlignment="1">
      <alignment horizontal="center"/>
    </xf>
    <xf numFmtId="0" fontId="5" fillId="0" borderId="0" xfId="6" applyFont="1" applyBorder="1">
      <alignment horizontal="left" wrapText="1"/>
    </xf>
    <xf numFmtId="9" fontId="9" fillId="0" borderId="0" xfId="7" applyFont="1" applyBorder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0" fontId="10" fillId="0" borderId="0" xfId="0" applyFont="1" applyBorder="1"/>
    <xf numFmtId="175" fontId="6" fillId="0" borderId="0" xfId="0" applyNumberFormat="1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75" fontId="6" fillId="0" borderId="5" xfId="0" applyNumberFormat="1" applyFont="1" applyBorder="1" applyAlignment="1">
      <alignment horizontal="center"/>
    </xf>
    <xf numFmtId="0" fontId="12" fillId="0" borderId="1" xfId="1" applyFont="1" applyBorder="1" applyAlignment="1">
      <alignment vertical="center"/>
    </xf>
    <xf numFmtId="14" fontId="12" fillId="0" borderId="2" xfId="2" applyNumberFormat="1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12" fillId="0" borderId="5" xfId="1" applyFont="1" applyBorder="1" applyAlignment="1">
      <alignment vertical="center"/>
    </xf>
    <xf numFmtId="14" fontId="12" fillId="0" borderId="5" xfId="2" applyNumberFormat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0" fillId="5" borderId="0" xfId="0" applyFill="1"/>
  </cellXfs>
  <cellStyles count="8">
    <cellStyle name="Activité" xfId="6" xr:uid="{34A2CB57-5550-1547-BC6D-08EB5C5A98D6}"/>
    <cellStyle name="En-têtes de période" xfId="5" xr:uid="{F23F9AE0-7694-FD4C-886B-3A9A28475C32}"/>
    <cellStyle name="En-têtes de projet" xfId="4" xr:uid="{B7750427-8745-2E43-AE92-DDF71ABF3610}"/>
    <cellStyle name="Normal" xfId="0" builtinId="0"/>
    <cellStyle name="Pourcentage accompli" xfId="7" xr:uid="{D080DCFC-DDC2-7847-B921-A70DA7DCAA78}"/>
    <cellStyle name="Titre 2" xfId="1" builtinId="17"/>
    <cellStyle name="Titre 3" xfId="2" builtinId="18"/>
    <cellStyle name="Titre 4" xfId="3" builtinId="19"/>
  </cellStyles>
  <dxfs count="60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D880D6"/>
        </patternFill>
      </fill>
    </dxf>
    <dxf>
      <fill>
        <patternFill>
          <bgColor rgb="FFAB4CAA"/>
        </patternFill>
      </fill>
    </dxf>
    <dxf>
      <fill>
        <patternFill patternType="lightDown">
          <bgColor theme="0" tint="-0.14996795556505021"/>
        </patternFill>
      </fill>
    </dxf>
    <dxf>
      <fill>
        <patternFill patternType="lightUp"/>
      </fill>
    </dxf>
    <dxf>
      <fill>
        <patternFill>
          <bgColor rgb="FFD880D6"/>
        </patternFill>
      </fill>
    </dxf>
    <dxf>
      <fill>
        <patternFill>
          <bgColor rgb="FFFFADD6"/>
        </patternFill>
      </fill>
    </dxf>
    <dxf>
      <fill>
        <patternFill>
          <bgColor rgb="FFD8494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rgb="FFFFADD6"/>
        </patternFill>
      </fill>
    </dxf>
    <dxf>
      <fill>
        <patternFill>
          <bgColor rgb="FFD880D6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AB4CAA"/>
        </patternFill>
      </fill>
    </dxf>
    <dxf>
      <fill>
        <patternFill>
          <bgColor rgb="FFD880D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ADD6"/>
        </patternFill>
      </fill>
    </dxf>
    <dxf>
      <fill>
        <patternFill>
          <bgColor rgb="FFD880D6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AB4CAA"/>
        </patternFill>
      </fill>
    </dxf>
    <dxf>
      <fill>
        <patternFill>
          <bgColor rgb="FFD880D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ADD6"/>
        </patternFill>
      </fill>
    </dxf>
    <dxf>
      <fill>
        <patternFill>
          <bgColor rgb="FFD880D6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AB4CAA"/>
        </patternFill>
      </fill>
    </dxf>
    <dxf>
      <fill>
        <patternFill>
          <bgColor rgb="FFD880D6"/>
        </patternFill>
      </fill>
    </dxf>
    <dxf>
      <fill>
        <patternFill>
          <bgColor rgb="FFFFADD6"/>
        </patternFill>
      </fill>
    </dxf>
    <dxf>
      <fill>
        <patternFill>
          <bgColor rgb="FFD880D6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AB4CAA"/>
        </patternFill>
      </fill>
    </dxf>
    <dxf>
      <fill>
        <patternFill>
          <bgColor rgb="FFD880D6"/>
        </patternFill>
      </fill>
    </dxf>
    <dxf>
      <fill>
        <patternFill>
          <bgColor rgb="FFAB4CAA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7B4FD6"/>
        </patternFill>
      </fill>
    </dxf>
    <dxf>
      <fill>
        <patternFill>
          <bgColor rgb="FFD880D6"/>
        </patternFill>
      </fill>
    </dxf>
    <dxf>
      <fill>
        <patternFill patternType="lightUp"/>
      </fill>
    </dxf>
    <dxf>
      <fill>
        <patternFill patternType="lightDown">
          <bgColor theme="0" tint="-0.14996795556505021"/>
        </patternFill>
      </fill>
    </dxf>
    <dxf>
      <fill>
        <patternFill>
          <bgColor rgb="FF7B4FD6"/>
        </patternFill>
      </fill>
    </dxf>
    <dxf>
      <fill>
        <patternFill>
          <bgColor rgb="FFD880D6"/>
        </patternFill>
      </fill>
    </dxf>
    <dxf>
      <fill>
        <patternFill patternType="lightDown">
          <bgColor theme="0" tint="-0.14996795556505021"/>
        </patternFill>
      </fill>
    </dxf>
    <dxf>
      <fill>
        <patternFill>
          <bgColor rgb="FF7B4FD6"/>
        </patternFill>
      </fill>
    </dxf>
    <dxf>
      <fill>
        <patternFill>
          <bgColor rgb="FFD880D6"/>
        </patternFill>
      </fill>
    </dxf>
    <dxf>
      <fill>
        <patternFill>
          <bgColor rgb="FF7B54FF"/>
        </patternFill>
      </fill>
    </dxf>
    <dxf>
      <fill>
        <patternFill>
          <bgColor rgb="FFD880D6"/>
        </patternFill>
      </fill>
    </dxf>
    <dxf>
      <fill>
        <patternFill>
          <bgColor rgb="FF7B54FF"/>
        </patternFill>
      </fill>
    </dxf>
    <dxf>
      <fill>
        <patternFill>
          <bgColor rgb="FFD880D6"/>
        </patternFill>
      </fill>
    </dxf>
    <dxf>
      <fill>
        <patternFill>
          <bgColor rgb="FFD880D6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FFADD6"/>
      <color rgb="FFD880D6"/>
      <color rgb="FFAB4CAA"/>
      <color rgb="FFD84942"/>
      <color rgb="FF8200FF"/>
      <color rgb="FF7B4FD6"/>
      <color rgb="FF7B54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ollinebousquet/Downloads/Planificateur%20de%20projet%20Gantt.xlsx" TargetMode="External"/><Relationship Id="rId1" Type="http://schemas.openxmlformats.org/officeDocument/2006/relationships/externalLinkPath" Target="/Users/collinebousquet/Downloads/Planificateur%20de%20projet%20Gan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ficateur de projet"/>
    </sheetNames>
    <sheetDataSet>
      <sheetData sheetId="0">
        <row r="2">
          <cell r="H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F11B-E65D-D346-8158-1218FC7E9310}">
  <dimension ref="A1:AA27"/>
  <sheetViews>
    <sheetView tabSelected="1" zoomScale="84" workbookViewId="0">
      <selection activeCell="L5" sqref="L5:L7"/>
    </sheetView>
  </sheetViews>
  <sheetFormatPr baseColWidth="10" defaultRowHeight="16" x14ac:dyDescent="0.2"/>
  <cols>
    <col min="1" max="1" width="4.83203125" customWidth="1"/>
    <col min="2" max="2" width="26" customWidth="1"/>
    <col min="3" max="3" width="18" style="5" customWidth="1"/>
    <col min="4" max="4" width="15.5" style="5" customWidth="1"/>
    <col min="5" max="6" width="15" customWidth="1"/>
    <col min="7" max="7" width="17.1640625" style="11" customWidth="1"/>
    <col min="12" max="12" width="10.83203125" customWidth="1"/>
    <col min="28" max="16384" width="10.83203125" style="9"/>
  </cols>
  <sheetData>
    <row r="1" spans="1:27" x14ac:dyDescent="0.2">
      <c r="G1"/>
    </row>
    <row r="2" spans="1:27" ht="31" x14ac:dyDescent="0.35">
      <c r="A2" s="6" t="s">
        <v>15</v>
      </c>
      <c r="G2" s="9"/>
      <c r="K2" t="s">
        <v>3</v>
      </c>
      <c r="L2" s="25"/>
      <c r="N2" t="s">
        <v>18</v>
      </c>
      <c r="O2" s="24"/>
      <c r="Q2" t="s">
        <v>17</v>
      </c>
      <c r="R2" s="26"/>
      <c r="T2" t="s">
        <v>19</v>
      </c>
      <c r="U2" s="35"/>
    </row>
    <row r="3" spans="1:27" s="12" customFormat="1" ht="40" customHeight="1" thickBot="1" x14ac:dyDescent="0.25">
      <c r="A3" s="1"/>
      <c r="B3" s="28" t="s">
        <v>11</v>
      </c>
      <c r="C3" s="29" t="s">
        <v>12</v>
      </c>
      <c r="D3" s="29" t="s">
        <v>13</v>
      </c>
      <c r="E3" s="30" t="s">
        <v>20</v>
      </c>
      <c r="F3" s="31" t="s">
        <v>16</v>
      </c>
      <c r="G3" s="31" t="s">
        <v>2</v>
      </c>
      <c r="H3" s="2" t="s">
        <v>14</v>
      </c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13" customFormat="1" ht="15.75" customHeight="1" thickTop="1" thickBot="1" x14ac:dyDescent="0.25">
      <c r="A4" s="7"/>
      <c r="B4" s="32"/>
      <c r="C4" s="33"/>
      <c r="D4" s="33"/>
      <c r="E4" s="34"/>
      <c r="F4" s="34"/>
      <c r="G4" s="34"/>
      <c r="H4" s="8">
        <v>45208</v>
      </c>
      <c r="I4" s="8">
        <f>H4+7</f>
        <v>45215</v>
      </c>
      <c r="J4" s="8">
        <f t="shared" ref="J4:AA4" si="0">I4+7</f>
        <v>45222</v>
      </c>
      <c r="K4" s="8">
        <f t="shared" si="0"/>
        <v>45229</v>
      </c>
      <c r="L4" s="8">
        <f t="shared" si="0"/>
        <v>45236</v>
      </c>
      <c r="M4" s="8">
        <f t="shared" si="0"/>
        <v>45243</v>
      </c>
      <c r="N4" s="8">
        <f t="shared" si="0"/>
        <v>45250</v>
      </c>
      <c r="O4" s="8">
        <f t="shared" si="0"/>
        <v>45257</v>
      </c>
      <c r="P4" s="8">
        <f t="shared" si="0"/>
        <v>45264</v>
      </c>
      <c r="Q4" s="8">
        <f t="shared" si="0"/>
        <v>45271</v>
      </c>
      <c r="R4" s="8">
        <f t="shared" si="0"/>
        <v>45278</v>
      </c>
      <c r="S4" s="8">
        <f t="shared" si="0"/>
        <v>45285</v>
      </c>
      <c r="T4" s="8">
        <f t="shared" si="0"/>
        <v>45292</v>
      </c>
      <c r="U4" s="8">
        <f t="shared" si="0"/>
        <v>45299</v>
      </c>
      <c r="V4" s="8">
        <f t="shared" si="0"/>
        <v>45306</v>
      </c>
      <c r="W4" s="8">
        <f t="shared" si="0"/>
        <v>45313</v>
      </c>
      <c r="X4" s="8">
        <f t="shared" si="0"/>
        <v>45320</v>
      </c>
      <c r="Y4" s="8">
        <f t="shared" si="0"/>
        <v>45327</v>
      </c>
      <c r="Z4" s="8">
        <f t="shared" si="0"/>
        <v>45334</v>
      </c>
      <c r="AA4" s="8">
        <f t="shared" si="0"/>
        <v>45341</v>
      </c>
    </row>
    <row r="5" spans="1:27" s="13" customFormat="1" ht="30" customHeight="1" x14ac:dyDescent="0.2">
      <c r="B5" s="18" t="s">
        <v>0</v>
      </c>
      <c r="C5" s="10">
        <v>45208</v>
      </c>
      <c r="D5" s="10">
        <v>45237</v>
      </c>
      <c r="E5" s="23">
        <f>(D5-C5)/7</f>
        <v>4.1428571428571432</v>
      </c>
      <c r="F5" s="23" cm="1">
        <f t="array" ref="F5">_xlfn.SWITCH(G5,"NOT STARTED",0,"EXP N1",25,"EXP N2",50,"ANALYSIS",75,"REORDER",25,"DONE",100,"","")</f>
        <v>75</v>
      </c>
      <c r="G5" s="19" t="s">
        <v>3</v>
      </c>
      <c r="H5" s="20" t="str">
        <f>IF(AND(H$4&gt;=$C5,H$4&lt;=$D5),$G5,"")</f>
        <v>ANALYSIS</v>
      </c>
      <c r="I5" s="20" t="str">
        <f>IF(AND(I$4&gt;=$C5,I$4&lt;=$D5),$G5,"")</f>
        <v>ANALYSIS</v>
      </c>
      <c r="J5" s="20" t="str">
        <f>IF(AND(J$4&gt;=$C5,J$4&lt;=$D5),$G5,"")</f>
        <v>ANALYSIS</v>
      </c>
      <c r="K5" s="20" t="str">
        <f>IF(AND(K$4&gt;=$C5,K$4&lt;=$D5),$G5,"")</f>
        <v>ANALYSIS</v>
      </c>
      <c r="L5" s="20" t="str">
        <f>IF(AND(L$4&gt;=$C5,L$4&lt;=$D5),$G5,"")</f>
        <v>ANALYSIS</v>
      </c>
      <c r="M5" s="20" t="str">
        <f>IF(AND(M$4&gt;=$C5,M$4&lt;=$D5),$G5,"")</f>
        <v/>
      </c>
      <c r="N5" s="20" t="str">
        <f>IF(AND(N$4&gt;=$C5,N$4&lt;=$D5),$G5,"")</f>
        <v/>
      </c>
      <c r="O5" s="20" t="str">
        <f>IF(AND(O$4&gt;=$C5,O$4&lt;=$D5),$G5,"")</f>
        <v/>
      </c>
      <c r="P5" s="20" t="str">
        <f>IF(AND(P$4&gt;=$C5,P$4&lt;=$D5),$G5,"")</f>
        <v/>
      </c>
      <c r="Q5" s="20" t="str">
        <f>IF(AND(Q$4&gt;=$C5,Q$4&lt;=$D5),$G5,"")</f>
        <v/>
      </c>
      <c r="R5" s="20" t="str">
        <f>IF(AND(R$4&gt;=$C5,R$4&lt;=$D5),$G5,"")</f>
        <v/>
      </c>
      <c r="S5" s="20" t="str">
        <f>IF(AND(S$4&gt;=$C5,S$4&lt;=$D5),$G5,"")</f>
        <v/>
      </c>
      <c r="T5" s="20" t="str">
        <f>IF(AND(T$4&gt;=$C5,T$4&lt;=$D5),$G5,"")</f>
        <v/>
      </c>
      <c r="U5" s="20" t="str">
        <f>IF(AND(U$4&gt;=$C5,U$4&lt;=$D5),$G5,"")</f>
        <v/>
      </c>
      <c r="V5" s="20" t="str">
        <f>IF(AND(V$4&gt;=$C5,V$4&lt;=$D5),$G5,"")</f>
        <v/>
      </c>
      <c r="W5" s="20" t="str">
        <f>IF(AND(W$4&gt;=$C5,W$4&lt;=$D5),$G5,"")</f>
        <v/>
      </c>
      <c r="X5" s="20" t="str">
        <f>IF(AND(X$4&gt;=$C5,X$4&lt;=$D5),$G5,"")</f>
        <v/>
      </c>
      <c r="Y5" s="20" t="str">
        <f>IF(AND(Y$4&gt;=$C5,Y$4&lt;=$D5),$G5,"")</f>
        <v/>
      </c>
      <c r="Z5" s="20" t="str">
        <f>IF(AND(Z$4&gt;=$C5,Z$4&lt;=$D5),$G5,"")</f>
        <v/>
      </c>
      <c r="AA5" s="20" t="str">
        <f>IF(AND(AA$4&gt;=$C5,AA$4&lt;=$D5),$G5,"")</f>
        <v/>
      </c>
    </row>
    <row r="6" spans="1:27" s="13" customFormat="1" ht="30" customHeight="1" x14ac:dyDescent="0.2">
      <c r="B6" s="18" t="s">
        <v>1</v>
      </c>
      <c r="C6" s="10">
        <v>45222</v>
      </c>
      <c r="D6" s="10">
        <v>45243</v>
      </c>
      <c r="E6" s="23">
        <f t="shared" ref="E6:E11" si="1">(D6-C6)/7</f>
        <v>3</v>
      </c>
      <c r="F6" s="23" cm="1">
        <f t="array" ref="F6">_xlfn.SWITCH(G6,"NOT STARTED",0,"EXP N1",25,"EXP N2",50,"ANALYSIS",75,"REORDER",25,"DONE",100,"","")</f>
        <v>25</v>
      </c>
      <c r="G6" s="19" t="s">
        <v>4</v>
      </c>
      <c r="H6" s="20" t="str">
        <f>IF(AND(H$4&gt;=$C6,H$4&lt;=$D6),$G6,"")</f>
        <v/>
      </c>
      <c r="I6" s="20" t="str">
        <f>IF(AND(I$4&gt;=$C6,I$4&lt;=$D6),$G6,"")</f>
        <v/>
      </c>
      <c r="J6" s="20" t="str">
        <f>IF(AND(J$4&gt;=$C6,J$4&lt;=$D6),$G6,"")</f>
        <v>REORDER</v>
      </c>
      <c r="K6" s="20" t="str">
        <f>IF(AND(K$4&gt;=$C6,K$4&lt;=$D6),$G6,"")</f>
        <v>REORDER</v>
      </c>
      <c r="L6" s="20" t="str">
        <f>IF(AND(L$4&gt;=$C6,L$4&lt;=$D6),$G6,"")</f>
        <v>REORDER</v>
      </c>
      <c r="M6" s="20" t="str">
        <f>IF(AND(M$4&gt;=$C6,M$4&lt;=$D6),$G6,"")</f>
        <v>REORDER</v>
      </c>
      <c r="N6" s="20" t="str">
        <f>IF(AND(N$4&gt;=$C6,N$4&lt;=$D6),$G6,"")</f>
        <v/>
      </c>
      <c r="O6" s="20" t="str">
        <f>IF(AND(O$4&gt;=$C6,O$4&lt;=$D6),$G6,"")</f>
        <v/>
      </c>
      <c r="P6" s="20" t="str">
        <f>IF(AND(P$4&gt;=$C6,P$4&lt;=$D6),$G6,"")</f>
        <v/>
      </c>
      <c r="Q6" s="20" t="str">
        <f>IF(AND(Q$4&gt;=$C6,Q$4&lt;=$D6),$G6,"")</f>
        <v/>
      </c>
      <c r="R6" s="20" t="str">
        <f>IF(AND(R$4&gt;=$C6,R$4&lt;=$D6),$G6,"")</f>
        <v/>
      </c>
      <c r="S6" s="20" t="str">
        <f>IF(AND(S$4&gt;=$C6,S$4&lt;=$D6),$G6,"")</f>
        <v/>
      </c>
      <c r="T6" s="20" t="str">
        <f>IF(AND(T$4&gt;=$C6,T$4&lt;=$D6),$G6,"")</f>
        <v/>
      </c>
      <c r="U6" s="20" t="str">
        <f>IF(AND(U$4&gt;=$C6,U$4&lt;=$D6),$G6,"")</f>
        <v/>
      </c>
      <c r="V6" s="20" t="str">
        <f>IF(AND(V$4&gt;=$C6,V$4&lt;=$D6),$G6,"")</f>
        <v/>
      </c>
      <c r="W6" s="20" t="str">
        <f>IF(AND(W$4&gt;=$C6,W$4&lt;=$D6),$G6,"")</f>
        <v/>
      </c>
      <c r="X6" s="20" t="str">
        <f>IF(AND(X$4&gt;=$C6,X$4&lt;=$D6),$G6,"")</f>
        <v/>
      </c>
      <c r="Y6" s="20" t="str">
        <f>IF(AND(Y$4&gt;=$C6,Y$4&lt;=$D6),$G6,"")</f>
        <v/>
      </c>
      <c r="Z6" s="20" t="str">
        <f>IF(AND(Z$4&gt;=$C6,Z$4&lt;=$D6),$G6,"")</f>
        <v/>
      </c>
      <c r="AA6" s="20" t="str">
        <f>IF(AND(AA$4&gt;=$C6,AA$4&lt;=$D6),$G6,"")</f>
        <v/>
      </c>
    </row>
    <row r="7" spans="1:27" s="13" customFormat="1" ht="30" customHeight="1" x14ac:dyDescent="0.2">
      <c r="B7" s="18" t="s">
        <v>10</v>
      </c>
      <c r="C7" s="10">
        <v>45236</v>
      </c>
      <c r="D7" s="10">
        <v>45245</v>
      </c>
      <c r="E7" s="23">
        <f t="shared" si="1"/>
        <v>1.2857142857142858</v>
      </c>
      <c r="F7" s="23" cm="1">
        <f t="array" ref="F7">_xlfn.SWITCH(G7,"NOT STARTED",0,"EXP N1",25,"EXP N2",50,"ANALYSIS",75,"REORDER",25,"DONE",100,"","")</f>
        <v>75</v>
      </c>
      <c r="G7" s="19" t="s">
        <v>3</v>
      </c>
      <c r="H7" s="20" t="str">
        <f>IF(AND(H$4&gt;=$C7,H$4&lt;=$D7),$G7,"")</f>
        <v/>
      </c>
      <c r="I7" s="20" t="str">
        <f>IF(AND(I$4&gt;=$C7,I$4&lt;=$D7),$G7,"")</f>
        <v/>
      </c>
      <c r="J7" s="20" t="str">
        <f>IF(AND(J$4&gt;=$C7,J$4&lt;=$D7),$G7,"")</f>
        <v/>
      </c>
      <c r="K7" s="20" t="str">
        <f>IF(AND(K$4&gt;=$C7,K$4&lt;=$D7),$G7,"")</f>
        <v/>
      </c>
      <c r="L7" s="20" t="str">
        <f>IF(AND(L$4&gt;=$C7,L$4&lt;=$D7),$G7,"")</f>
        <v>ANALYSIS</v>
      </c>
      <c r="M7" s="20" t="str">
        <f>IF(AND(M$4&gt;=$C7,M$4&lt;=$D7),$G7,"")</f>
        <v>ANALYSIS</v>
      </c>
      <c r="N7" s="20" t="str">
        <f>IF(AND(N$4&gt;=$C7,N$4&lt;=$D7),$G7,"")</f>
        <v/>
      </c>
      <c r="O7" s="20" t="str">
        <f>IF(AND(O$4&gt;=$C7,O$4&lt;=$D7),$G7,"")</f>
        <v/>
      </c>
      <c r="P7" s="20" t="str">
        <f>IF(AND(P$4&gt;=$C7,P$4&lt;=$D7),$G7,"")</f>
        <v/>
      </c>
      <c r="Q7" s="20" t="str">
        <f>IF(AND(Q$4&gt;=$C7,Q$4&lt;=$D7),$G7,"")</f>
        <v/>
      </c>
      <c r="R7" s="20" t="str">
        <f>IF(AND(R$4&gt;=$C7,R$4&lt;=$D7),$G7,"")</f>
        <v/>
      </c>
      <c r="S7" s="20" t="str">
        <f>IF(AND(S$4&gt;=$C7,S$4&lt;=$D7),$G7,"")</f>
        <v/>
      </c>
      <c r="T7" s="20" t="str">
        <f>IF(AND(T$4&gt;=$C7,T$4&lt;=$D7),$G7,"")</f>
        <v/>
      </c>
      <c r="U7" s="20" t="str">
        <f>IF(AND(U$4&gt;=$C7,U$4&lt;=$D7),$G7,"")</f>
        <v/>
      </c>
      <c r="V7" s="20" t="str">
        <f>IF(AND(V$4&gt;=$C7,V$4&lt;=$D7),$G7,"")</f>
        <v/>
      </c>
      <c r="W7" s="20" t="str">
        <f>IF(AND(W$4&gt;=$C7,W$4&lt;=$D7),$G7,"")</f>
        <v/>
      </c>
      <c r="X7" s="20" t="str">
        <f>IF(AND(X$4&gt;=$C7,X$4&lt;=$D7),$G7,"")</f>
        <v/>
      </c>
      <c r="Y7" s="20" t="str">
        <f>IF(AND(Y$4&gt;=$C7,Y$4&lt;=$D7),$G7,"")</f>
        <v/>
      </c>
      <c r="Z7" s="20" t="str">
        <f>IF(AND(Z$4&gt;=$C7,Z$4&lt;=$D7),$G7,"")</f>
        <v/>
      </c>
      <c r="AA7" s="20" t="str">
        <f>IF(AND(AA$4&gt;=$C7,AA$4&lt;=$D7),$G7,"")</f>
        <v/>
      </c>
    </row>
    <row r="8" spans="1:27" s="13" customFormat="1" ht="30" customHeight="1" x14ac:dyDescent="0.2">
      <c r="B8" s="18" t="s">
        <v>9</v>
      </c>
      <c r="C8" s="10">
        <v>45243</v>
      </c>
      <c r="D8" s="10">
        <v>45271</v>
      </c>
      <c r="E8" s="23">
        <f t="shared" si="1"/>
        <v>4</v>
      </c>
      <c r="F8" s="23" cm="1">
        <f t="array" ref="F8">_xlfn.SWITCH(G8,"NOT STARTED",0,"EXP N1",25,"EXP N2",50,"ANALYSIS",75,"REORDER",25,"DONE",100,"","")</f>
        <v>0</v>
      </c>
      <c r="G8" s="19" t="s">
        <v>5</v>
      </c>
      <c r="H8" s="20" t="str">
        <f>IF(AND(H$4&gt;=$C8,H$4&lt;=$D8),$G8,"")</f>
        <v/>
      </c>
      <c r="I8" s="20" t="str">
        <f>IF(AND(I$4&gt;=$C8,I$4&lt;=$D8),$G8,"")</f>
        <v/>
      </c>
      <c r="J8" s="20" t="str">
        <f>IF(AND(J$4&gt;=$C8,J$4&lt;=$D8),$G8,"")</f>
        <v/>
      </c>
      <c r="K8" s="20" t="str">
        <f>IF(AND(K$4&gt;=$C8,K$4&lt;=$D8),$G8,"")</f>
        <v/>
      </c>
      <c r="L8" s="20" t="str">
        <f>IF(AND(L$4&gt;=$C8,L$4&lt;=$D8),$G8,"")</f>
        <v/>
      </c>
      <c r="M8" s="20" t="str">
        <f>IF(AND(M$4&gt;=$C8,M$4&lt;=$D8),$G8,"")</f>
        <v>NOT STARTED</v>
      </c>
      <c r="N8" s="20" t="str">
        <f>IF(AND(N$4&gt;=$C8,N$4&lt;=$D8),$G8,"")</f>
        <v>NOT STARTED</v>
      </c>
      <c r="O8" s="20" t="str">
        <f>IF(AND(O$4&gt;=$C8,O$4&lt;=$D8),$G8,"")</f>
        <v>NOT STARTED</v>
      </c>
      <c r="P8" s="20" t="str">
        <f>IF(AND(P$4&gt;=$C8,P$4&lt;=$D8),$G8,"")</f>
        <v>NOT STARTED</v>
      </c>
      <c r="Q8" s="20" t="str">
        <f>IF(AND(Q$4&gt;=$C8,Q$4&lt;=$D8),$G8,"")</f>
        <v>NOT STARTED</v>
      </c>
      <c r="R8" s="20" t="str">
        <f>IF(AND(R$4&gt;=$C8,R$4&lt;=$D8),$G8,"")</f>
        <v/>
      </c>
      <c r="S8" s="20" t="str">
        <f>IF(AND(S$4&gt;=$C8,S$4&lt;=$D8),$G8,"")</f>
        <v/>
      </c>
      <c r="T8" s="20" t="str">
        <f>IF(AND(T$4&gt;=$C8,T$4&lt;=$D8),$G8,"")</f>
        <v/>
      </c>
      <c r="U8" s="20" t="str">
        <f>IF(AND(U$4&gt;=$C8,U$4&lt;=$D8),$G8,"")</f>
        <v/>
      </c>
      <c r="V8" s="20" t="str">
        <f>IF(AND(V$4&gt;=$C8,V$4&lt;=$D8),$G8,"")</f>
        <v/>
      </c>
      <c r="W8" s="20" t="str">
        <f>IF(AND(W$4&gt;=$C8,W$4&lt;=$D8),$G8,"")</f>
        <v/>
      </c>
      <c r="X8" s="20" t="str">
        <f>IF(AND(X$4&gt;=$C8,X$4&lt;=$D8),$G8,"")</f>
        <v/>
      </c>
      <c r="Y8" s="20" t="str">
        <f>IF(AND(Y$4&gt;=$C8,Y$4&lt;=$D8),$G8,"")</f>
        <v/>
      </c>
      <c r="Z8" s="20" t="str">
        <f>IF(AND(Z$4&gt;=$C8,Z$4&lt;=$D8),$G8,"")</f>
        <v/>
      </c>
      <c r="AA8" s="20" t="str">
        <f>IF(AND(AA$4&gt;=$C8,AA$4&lt;=$D8),$G8,"")</f>
        <v/>
      </c>
    </row>
    <row r="9" spans="1:27" s="13" customFormat="1" ht="30" customHeight="1" x14ac:dyDescent="0.2">
      <c r="B9" s="18" t="s">
        <v>6</v>
      </c>
      <c r="C9" s="10"/>
      <c r="D9" s="10"/>
      <c r="E9" s="23">
        <f t="shared" si="1"/>
        <v>0</v>
      </c>
      <c r="F9" s="23" cm="1">
        <f t="array" ref="F9">_xlfn.SWITCH(G9,"NOT STARTED",0,"EXP N1",25,"EXP N2",50,"ANALYSIS",75,"REORDER",25,"DONE",100,"","")</f>
        <v>0</v>
      </c>
      <c r="G9" s="19" t="s">
        <v>5</v>
      </c>
      <c r="H9" s="20" t="str">
        <f>IF(AND(H$4&gt;=$C9,H$4&lt;=$D9),$G9,"")</f>
        <v/>
      </c>
      <c r="I9" s="20" t="str">
        <f>IF(AND(I$4&gt;=$C9,I$4&lt;=$D9),$G9,"")</f>
        <v/>
      </c>
      <c r="J9" s="20" t="str">
        <f>IF(AND(J$4&gt;=$C9,J$4&lt;=$D9),$G9,"")</f>
        <v/>
      </c>
      <c r="K9" s="20" t="str">
        <f>IF(AND(K$4&gt;=$C9,K$4&lt;=$D9),$G9,"")</f>
        <v/>
      </c>
      <c r="L9" s="20" t="str">
        <f>IF(AND(L$4&gt;=$C9,L$4&lt;=$D9),$G9,"")</f>
        <v/>
      </c>
      <c r="M9" s="20" t="str">
        <f>IF(AND(M$4&gt;=$C9,M$4&lt;=$D9),$G9,"")</f>
        <v/>
      </c>
      <c r="N9" s="20" t="str">
        <f>IF(AND(N$4&gt;=$C9,N$4&lt;=$D9),$G9,"")</f>
        <v/>
      </c>
      <c r="O9" s="20" t="str">
        <f>IF(AND(O$4&gt;=$C9,O$4&lt;=$D9),$G9,"")</f>
        <v/>
      </c>
      <c r="P9" s="20" t="str">
        <f>IF(AND(P$4&gt;=$C9,P$4&lt;=$D9),$G9,"")</f>
        <v/>
      </c>
      <c r="Q9" s="20" t="str">
        <f>IF(AND(Q$4&gt;=$C9,Q$4&lt;=$D9),$G9,"")</f>
        <v/>
      </c>
      <c r="R9" s="20" t="str">
        <f>IF(AND(R$4&gt;=$C9,R$4&lt;=$D9),$G9,"")</f>
        <v/>
      </c>
      <c r="S9" s="20" t="str">
        <f>IF(AND(S$4&gt;=$C9,S$4&lt;=$D9),$G9,"")</f>
        <v/>
      </c>
      <c r="T9" s="20" t="str">
        <f>IF(AND(T$4&gt;=$C9,T$4&lt;=$D9),$G9,"")</f>
        <v/>
      </c>
      <c r="U9" s="20" t="str">
        <f>IF(AND(U$4&gt;=$C9,U$4&lt;=$D9),$G9,"")</f>
        <v/>
      </c>
      <c r="V9" s="20" t="str">
        <f>IF(AND(V$4&gt;=$C9,V$4&lt;=$D9),$G9,"")</f>
        <v/>
      </c>
      <c r="W9" s="20" t="str">
        <f>IF(AND(W$4&gt;=$C9,W$4&lt;=$D9),$G9,"")</f>
        <v/>
      </c>
      <c r="X9" s="20" t="str">
        <f>IF(AND(X$4&gt;=$C9,X$4&lt;=$D9),$G9,"")</f>
        <v/>
      </c>
      <c r="Y9" s="20" t="str">
        <f>IF(AND(Y$4&gt;=$C9,Y$4&lt;=$D9),$G9,"")</f>
        <v/>
      </c>
      <c r="Z9" s="20" t="str">
        <f>IF(AND(Z$4&gt;=$C9,Z$4&lt;=$D9),$G9,"")</f>
        <v/>
      </c>
      <c r="AA9" s="20" t="str">
        <f>IF(AND(AA$4&gt;=$C9,AA$4&lt;=$D9),$G9,"")</f>
        <v/>
      </c>
    </row>
    <row r="10" spans="1:27" s="13" customFormat="1" ht="30" customHeight="1" x14ac:dyDescent="0.2">
      <c r="B10" s="18" t="s">
        <v>7</v>
      </c>
      <c r="C10" s="10"/>
      <c r="D10" s="10"/>
      <c r="E10" s="23">
        <f t="shared" si="1"/>
        <v>0</v>
      </c>
      <c r="F10" s="23" t="str" cm="1">
        <f t="array" ref="F10">_xlfn.SWITCH(G10,"NOT STARTED",0,"EXP N1",25,"EXP N2",50,"ANALYSIS",75,"REORDER",25,"DONE",100,H30,"")</f>
        <v/>
      </c>
      <c r="G10" s="19"/>
      <c r="H10" s="20" t="str">
        <f>IF(AND(H$4&gt;=$C10,H$4&lt;=$D10),$G10,"")</f>
        <v/>
      </c>
      <c r="I10" s="20" t="str">
        <f>IF(AND(I$4&gt;=$C10,I$4&lt;=$D10),$G10,"")</f>
        <v/>
      </c>
      <c r="J10" s="20" t="str">
        <f>IF(AND(J$4&gt;=$C10,J$4&lt;=$D10),$G10,"")</f>
        <v/>
      </c>
      <c r="K10" s="20" t="str">
        <f>IF(AND(K$4&gt;=$C10,K$4&lt;=$D10),$G10,"")</f>
        <v/>
      </c>
      <c r="L10" s="20" t="str">
        <f>IF(AND(L$4&gt;=$C10,L$4&lt;=$D10),$G10,"")</f>
        <v/>
      </c>
      <c r="M10" s="20" t="str">
        <f>IF(AND(M$4&gt;=$C10,M$4&lt;=$D10),$G10,"")</f>
        <v/>
      </c>
      <c r="N10" s="20" t="str">
        <f>IF(AND(N$4&gt;=$C10,N$4&lt;=$D10),$G10,"")</f>
        <v/>
      </c>
      <c r="O10" s="20" t="str">
        <f>IF(AND(O$4&gt;=$C10,O$4&lt;=$D10),$G10,"")</f>
        <v/>
      </c>
      <c r="P10" s="20" t="str">
        <f>IF(AND(P$4&gt;=$C10,P$4&lt;=$D10),$G10,"")</f>
        <v/>
      </c>
      <c r="Q10" s="20" t="str">
        <f>IF(AND(Q$4&gt;=$C10,Q$4&lt;=$D10),$G10,"")</f>
        <v/>
      </c>
      <c r="R10" s="20" t="str">
        <f>IF(AND(R$4&gt;=$C10,R$4&lt;=$D10),$G10,"")</f>
        <v/>
      </c>
      <c r="S10" s="20" t="str">
        <f>IF(AND(S$4&gt;=$C10,S$4&lt;=$D10),$G10,"")</f>
        <v/>
      </c>
      <c r="T10" s="20" t="str">
        <f>IF(AND(T$4&gt;=$C10,T$4&lt;=$D10),$G10,"")</f>
        <v/>
      </c>
      <c r="U10" s="20" t="str">
        <f>IF(AND(U$4&gt;=$C10,U$4&lt;=$D10),$G10,"")</f>
        <v/>
      </c>
      <c r="V10" s="20" t="str">
        <f>IF(AND(V$4&gt;=$C10,V$4&lt;=$D10),$G10,"")</f>
        <v/>
      </c>
      <c r="W10" s="20" t="str">
        <f>IF(AND(W$4&gt;=$C10,W$4&lt;=$D10),$G10,"")</f>
        <v/>
      </c>
      <c r="X10" s="20" t="str">
        <f>IF(AND(X$4&gt;=$C10,X$4&lt;=$D10),$G10,"")</f>
        <v/>
      </c>
      <c r="Y10" s="20" t="str">
        <f>IF(AND(Y$4&gt;=$C10,Y$4&lt;=$D10),$G10,"")</f>
        <v/>
      </c>
      <c r="Z10" s="20" t="str">
        <f>IF(AND(Z$4&gt;=$C10,Z$4&lt;=$D10),$G10,"")</f>
        <v/>
      </c>
      <c r="AA10" s="20" t="str">
        <f>IF(AND(AA$4&gt;=$C10,AA$4&lt;=$D10),$G10,"")</f>
        <v/>
      </c>
    </row>
    <row r="11" spans="1:27" ht="18" x14ac:dyDescent="0.2">
      <c r="A11" s="9"/>
      <c r="B11" s="18" t="s">
        <v>8</v>
      </c>
      <c r="C11" s="10"/>
      <c r="D11" s="10"/>
      <c r="E11" s="23">
        <f t="shared" si="1"/>
        <v>0</v>
      </c>
      <c r="F11" s="23" t="str" cm="1">
        <f t="array" ref="F11">_xlfn.SWITCH(G11,"NOT STARTED",0,"EXP N1",25,"EXP N2",50,"ANALYSIS",75,"REORDER",25,"DONE",100,H31,"")</f>
        <v/>
      </c>
      <c r="G11" s="22"/>
      <c r="H11" s="20" t="str">
        <f>IF(AND(H$4&gt;=$C11,H$4&lt;=$D11),$G11,"")</f>
        <v/>
      </c>
      <c r="I11" s="20" t="str">
        <f>IF(AND(I$4&gt;=$C11,I$4&lt;=$D11),$G11,"")</f>
        <v/>
      </c>
      <c r="J11" s="20" t="str">
        <f>IF(AND(J$4&gt;=$C11,J$4&lt;=$D11),$G11,"")</f>
        <v/>
      </c>
      <c r="K11" s="20" t="str">
        <f>IF(AND(K$4&gt;=$C11,K$4&lt;=$D11),$G11,"")</f>
        <v/>
      </c>
      <c r="L11" s="20" t="str">
        <f>IF(AND(L$4&gt;=$C11,L$4&lt;=$D11),$G11,"")</f>
        <v/>
      </c>
      <c r="M11" s="20" t="str">
        <f>IF(AND(M$4&gt;=$C11,M$4&lt;=$D11),$G11,"")</f>
        <v/>
      </c>
      <c r="N11" s="20" t="str">
        <f>IF(AND(N$4&gt;=$C11,N$4&lt;=$D11),$G11,"")</f>
        <v/>
      </c>
      <c r="O11" s="20" t="str">
        <f>IF(AND(O$4&gt;=$C11,O$4&lt;=$D11),$G11,"")</f>
        <v/>
      </c>
      <c r="P11" s="20" t="str">
        <f>IF(AND(P$4&gt;=$C11,P$4&lt;=$D11),$G11,"")</f>
        <v/>
      </c>
      <c r="Q11" s="20" t="str">
        <f>IF(AND(Q$4&gt;=$C11,Q$4&lt;=$D11),$G11,"")</f>
        <v/>
      </c>
      <c r="R11" s="20" t="str">
        <f>IF(AND(R$4&gt;=$C11,R$4&lt;=$D11),$G11,"")</f>
        <v/>
      </c>
      <c r="S11" s="20" t="str">
        <f>IF(AND(S$4&gt;=$C11,S$4&lt;=$D11),$G11,"")</f>
        <v/>
      </c>
      <c r="T11" s="20" t="str">
        <f>IF(AND(T$4&gt;=$C11,T$4&lt;=$D11),$G11,"")</f>
        <v/>
      </c>
      <c r="U11" s="20" t="str">
        <f>IF(AND(U$4&gt;=$C11,U$4&lt;=$D11),$G11,"")</f>
        <v/>
      </c>
      <c r="V11" s="20" t="str">
        <f>IF(AND(V$4&gt;=$C11,V$4&lt;=$D11),$G11,"")</f>
        <v/>
      </c>
      <c r="W11" s="20" t="str">
        <f>IF(AND(W$4&gt;=$C11,W$4&lt;=$D11),$G11,"")</f>
        <v/>
      </c>
      <c r="X11" s="20" t="str">
        <f>IF(AND(X$4&gt;=$C11,X$4&lt;=$D11),$G11,"")</f>
        <v/>
      </c>
      <c r="Y11" s="20" t="str">
        <f>IF(AND(Y$4&gt;=$C11,Y$4&lt;=$D11),$G11,"")</f>
        <v/>
      </c>
      <c r="Z11" s="20" t="str">
        <f>IF(AND(Z$4&gt;=$C11,Z$4&lt;=$D11),$G11,"")</f>
        <v/>
      </c>
      <c r="AA11" s="20" t="str">
        <f>IF(AND(AA$4&gt;=$C11,AA$4&lt;=$D11),$G11,"")</f>
        <v/>
      </c>
    </row>
    <row r="12" spans="1:27" x14ac:dyDescent="0.2">
      <c r="A12" s="9"/>
      <c r="B12" s="9"/>
      <c r="C12" s="21"/>
      <c r="D12" s="21"/>
      <c r="E12" s="9"/>
      <c r="F12" s="23" t="str" cm="1">
        <f t="array" ref="F12">_xlfn.SWITCH(G12,"NOT STARTED",0,"EXP N1",25,"EXP N2",50,"ANALYSIS",75,"REORDER",25,"DONE",100,H32,"")</f>
        <v/>
      </c>
      <c r="G12" s="22"/>
      <c r="H12" s="20" t="str">
        <f>IF(AND(H$4&gt;=$C12,H$4&lt;=$D12),$G12,"")</f>
        <v/>
      </c>
      <c r="I12" s="20" t="str">
        <f>IF(AND(I$4&gt;=$C12,I$4&lt;=$D12),$G12,"")</f>
        <v/>
      </c>
      <c r="J12" s="20" t="str">
        <f>IF(AND(J$4&gt;=$C12,J$4&lt;=$D12),$G12,"")</f>
        <v/>
      </c>
      <c r="K12" s="20" t="str">
        <f>IF(AND(K$4&gt;=$C12,K$4&lt;=$D12),$G12,"")</f>
        <v/>
      </c>
      <c r="L12" s="20" t="str">
        <f>IF(AND(L$4&gt;=$C12,L$4&lt;=$D12),$G12,"")</f>
        <v/>
      </c>
      <c r="M12" s="20" t="str">
        <f>IF(AND(M$4&gt;=$C12,M$4&lt;=$D12),$G12,"")</f>
        <v/>
      </c>
      <c r="N12" s="20" t="str">
        <f>IF(AND(N$4&gt;=$C12,N$4&lt;=$D12),$G12,"")</f>
        <v/>
      </c>
      <c r="O12" s="20" t="str">
        <f>IF(AND(O$4&gt;=$C12,O$4&lt;=$D12),$G12,"")</f>
        <v/>
      </c>
      <c r="P12" s="20" t="str">
        <f>IF(AND(P$4&gt;=$C12,P$4&lt;=$D12),$G12,"")</f>
        <v/>
      </c>
      <c r="Q12" s="20" t="str">
        <f>IF(AND(Q$4&gt;=$C12,Q$4&lt;=$D12),$G12,"")</f>
        <v/>
      </c>
      <c r="R12" s="20" t="str">
        <f>IF(AND(R$4&gt;=$C12,R$4&lt;=$D12),$G12,"")</f>
        <v/>
      </c>
      <c r="S12" s="20" t="str">
        <f>IF(AND(S$4&gt;=$C12,S$4&lt;=$D12),$G12,"")</f>
        <v/>
      </c>
      <c r="T12" s="20" t="str">
        <f>IF(AND(T$4&gt;=$C12,T$4&lt;=$D12),$G12,"")</f>
        <v/>
      </c>
      <c r="U12" s="20" t="str">
        <f>IF(AND(U$4&gt;=$C12,U$4&lt;=$D12),$G12,"")</f>
        <v/>
      </c>
      <c r="V12" s="20" t="str">
        <f>IF(AND(V$4&gt;=$C12,V$4&lt;=$D12),$G12,"")</f>
        <v/>
      </c>
      <c r="W12" s="20" t="str">
        <f>IF(AND(W$4&gt;=$C12,W$4&lt;=$D12),$G12,"")</f>
        <v/>
      </c>
      <c r="X12" s="20" t="str">
        <f>IF(AND(X$4&gt;=$C12,X$4&lt;=$D12),$G12,"")</f>
        <v/>
      </c>
      <c r="Y12" s="20" t="str">
        <f>IF(AND(Y$4&gt;=$C12,Y$4&lt;=$D12),$G12,"")</f>
        <v/>
      </c>
      <c r="Z12" s="20" t="str">
        <f>IF(AND(Z$4&gt;=$C12,Z$4&lt;=$D12),$G12,"")</f>
        <v/>
      </c>
      <c r="AA12" s="20" t="str">
        <f>IF(AND(AA$4&gt;=$C12,AA$4&lt;=$D12),$G12,"")</f>
        <v/>
      </c>
    </row>
    <row r="13" spans="1:27" x14ac:dyDescent="0.2">
      <c r="A13" s="9"/>
      <c r="B13" s="9"/>
      <c r="C13" s="21"/>
      <c r="D13" s="21"/>
      <c r="E13" s="9"/>
      <c r="F13" s="23" t="str" cm="1">
        <f t="array" ref="F13">_xlfn.SWITCH(G13,"NOT STARTED",0,"EXP N1",25,"EXP N2",50,"ANALYSIS",75,"REORDER",25,"DONE",100,H33,"")</f>
        <v/>
      </c>
      <c r="G13" s="22"/>
      <c r="H13" s="20" t="str">
        <f>IF(AND(H$4&gt;=$C13,H$4&lt;=$D13),$G13,"")</f>
        <v/>
      </c>
      <c r="I13" s="20" t="str">
        <f>IF(AND(I$4&gt;=$C13,I$4&lt;=$D13),$G13,"")</f>
        <v/>
      </c>
      <c r="J13" s="20" t="str">
        <f>IF(AND(J$4&gt;=$C13,J$4&lt;=$D13),$G13,"")</f>
        <v/>
      </c>
      <c r="K13" s="20" t="str">
        <f>IF(AND(K$4&gt;=$C13,K$4&lt;=$D13),$G13,"")</f>
        <v/>
      </c>
      <c r="L13" s="20" t="str">
        <f>IF(AND(L$4&gt;=$C13,L$4&lt;=$D13),$G13,"")</f>
        <v/>
      </c>
      <c r="M13" s="20" t="str">
        <f>IF(AND(M$4&gt;=$C13,M$4&lt;=$D13),$G13,"")</f>
        <v/>
      </c>
      <c r="N13" s="20" t="str">
        <f>IF(AND(N$4&gt;=$C13,N$4&lt;=$D13),$G13,"")</f>
        <v/>
      </c>
      <c r="O13" s="20" t="str">
        <f>IF(AND(O$4&gt;=$C13,O$4&lt;=$D13),$G13,"")</f>
        <v/>
      </c>
      <c r="P13" s="20" t="str">
        <f>IF(AND(P$4&gt;=$C13,P$4&lt;=$D13),$G13,"")</f>
        <v/>
      </c>
      <c r="Q13" s="20" t="str">
        <f>IF(AND(Q$4&gt;=$C13,Q$4&lt;=$D13),$G13,"")</f>
        <v/>
      </c>
      <c r="R13" s="20" t="str">
        <f>IF(AND(R$4&gt;=$C13,R$4&lt;=$D13),$G13,"")</f>
        <v/>
      </c>
      <c r="S13" s="20" t="str">
        <f>IF(AND(S$4&gt;=$C13,S$4&lt;=$D13),$G13,"")</f>
        <v/>
      </c>
      <c r="T13" s="20" t="str">
        <f>IF(AND(T$4&gt;=$C13,T$4&lt;=$D13),$G13,"")</f>
        <v/>
      </c>
      <c r="U13" s="20" t="str">
        <f>IF(AND(U$4&gt;=$C13,U$4&lt;=$D13),$G13,"")</f>
        <v/>
      </c>
      <c r="V13" s="20" t="str">
        <f>IF(AND(V$4&gt;=$C13,V$4&lt;=$D13),$G13,"")</f>
        <v/>
      </c>
      <c r="W13" s="20" t="str">
        <f>IF(AND(W$4&gt;=$C13,W$4&lt;=$D13),$G13,"")</f>
        <v/>
      </c>
      <c r="X13" s="20" t="str">
        <f>IF(AND(X$4&gt;=$C13,X$4&lt;=$D13),$G13,"")</f>
        <v/>
      </c>
      <c r="Y13" s="20" t="str">
        <f>IF(AND(Y$4&gt;=$C13,Y$4&lt;=$D13),$G13,"")</f>
        <v/>
      </c>
      <c r="Z13" s="20" t="str">
        <f>IF(AND(Z$4&gt;=$C13,Z$4&lt;=$D13),$G13,"")</f>
        <v/>
      </c>
      <c r="AA13" s="20" t="str">
        <f>IF(AND(AA$4&gt;=$C13,AA$4&lt;=$D13),$G13,"")</f>
        <v/>
      </c>
    </row>
    <row r="14" spans="1:27" x14ac:dyDescent="0.2">
      <c r="A14" s="9"/>
      <c r="B14" s="9"/>
      <c r="C14" s="21"/>
      <c r="D14" s="21"/>
      <c r="E14" s="9"/>
      <c r="F14" s="23" t="str" cm="1">
        <f t="array" ref="F14">_xlfn.SWITCH(G14,"NOT STARTED",0,"EXP N1",25,"EXP N2",50,"ANALYSIS",75,"REORDER",25,"DONE",100,H34,"")</f>
        <v/>
      </c>
      <c r="G14" s="22"/>
      <c r="H14" s="20" t="str">
        <f>IF(AND(H$4&gt;=$C14,H$4&lt;=$D14),$G14,"")</f>
        <v/>
      </c>
      <c r="I14" s="20" t="str">
        <f>IF(AND(I$4&gt;=$C14,I$4&lt;=$D14),$G14,"")</f>
        <v/>
      </c>
      <c r="J14" s="20" t="str">
        <f>IF(AND(J$4&gt;=$C14,J$4&lt;=$D14),$G14,"")</f>
        <v/>
      </c>
      <c r="K14" s="20" t="str">
        <f>IF(AND(K$4&gt;=$C14,K$4&lt;=$D14),$G14,"")</f>
        <v/>
      </c>
      <c r="L14" s="20" t="str">
        <f>IF(AND(L$4&gt;=$C14,L$4&lt;=$D14),$G14,"")</f>
        <v/>
      </c>
      <c r="M14" s="20" t="str">
        <f>IF(AND(M$4&gt;=$C14,M$4&lt;=$D14),$G14,"")</f>
        <v/>
      </c>
      <c r="N14" s="20" t="str">
        <f>IF(AND(N$4&gt;=$C14,N$4&lt;=$D14),$G14,"")</f>
        <v/>
      </c>
      <c r="O14" s="20" t="str">
        <f>IF(AND(O$4&gt;=$C14,O$4&lt;=$D14),$G14,"")</f>
        <v/>
      </c>
      <c r="P14" s="20" t="str">
        <f>IF(AND(P$4&gt;=$C14,P$4&lt;=$D14),$G14,"")</f>
        <v/>
      </c>
      <c r="Q14" s="20" t="str">
        <f>IF(AND(Q$4&gt;=$C14,Q$4&lt;=$D14),$G14,"")</f>
        <v/>
      </c>
      <c r="R14" s="20" t="str">
        <f>IF(AND(R$4&gt;=$C14,R$4&lt;=$D14),$G14,"")</f>
        <v/>
      </c>
      <c r="S14" s="20" t="str">
        <f>IF(AND(S$4&gt;=$C14,S$4&lt;=$D14),$G14,"")</f>
        <v/>
      </c>
      <c r="T14" s="20" t="str">
        <f>IF(AND(T$4&gt;=$C14,T$4&lt;=$D14),$G14,"")</f>
        <v/>
      </c>
      <c r="U14" s="20" t="str">
        <f>IF(AND(U$4&gt;=$C14,U$4&lt;=$D14),$G14,"")</f>
        <v/>
      </c>
      <c r="V14" s="20" t="str">
        <f>IF(AND(V$4&gt;=$C14,V$4&lt;=$D14),$G14,"")</f>
        <v/>
      </c>
      <c r="W14" s="20" t="str">
        <f>IF(AND(W$4&gt;=$C14,W$4&lt;=$D14),$G14,"")</f>
        <v/>
      </c>
      <c r="X14" s="20" t="str">
        <f>IF(AND(X$4&gt;=$C14,X$4&lt;=$D14),$G14,"")</f>
        <v/>
      </c>
      <c r="Y14" s="20" t="str">
        <f>IF(AND(Y$4&gt;=$C14,Y$4&lt;=$D14),$G14,"")</f>
        <v/>
      </c>
      <c r="Z14" s="20" t="str">
        <f>IF(AND(Z$4&gt;=$C14,Z$4&lt;=$D14),$G14,"")</f>
        <v/>
      </c>
      <c r="AA14" s="20" t="str">
        <f>IF(AND(AA$4&gt;=$C14,AA$4&lt;=$D14),$G14,"")</f>
        <v/>
      </c>
    </row>
    <row r="15" spans="1:27" x14ac:dyDescent="0.2">
      <c r="A15" s="9"/>
      <c r="B15" s="9"/>
      <c r="C15" s="21"/>
      <c r="D15" s="21"/>
      <c r="E15" s="9"/>
      <c r="F15" s="23" t="str" cm="1">
        <f t="array" ref="F15">_xlfn.SWITCH(G15,"NOT STARTED",0,"EXP N1",25,"EXP N2",50,"ANALYSIS",75,"REORDER",25,"DONE",100,H35,"")</f>
        <v/>
      </c>
      <c r="G15" s="22"/>
      <c r="H15" s="20" t="str">
        <f>IF(AND(H$4&gt;=$C15,H$4&lt;=$D15),$G15,"")</f>
        <v/>
      </c>
      <c r="I15" s="20" t="str">
        <f>IF(AND(I$4&gt;=$C15,I$4&lt;=$D15),$G15,"")</f>
        <v/>
      </c>
      <c r="J15" s="20" t="str">
        <f>IF(AND(J$4&gt;=$C15,J$4&lt;=$D15),$G15,"")</f>
        <v/>
      </c>
      <c r="K15" s="20" t="str">
        <f>IF(AND(K$4&gt;=$C15,K$4&lt;=$D15),$G15,"")</f>
        <v/>
      </c>
      <c r="L15" s="20" t="str">
        <f>IF(AND(L$4&gt;=$C15,L$4&lt;=$D15),$G15,"")</f>
        <v/>
      </c>
      <c r="M15" s="20" t="str">
        <f>IF(AND(M$4&gt;=$C15,M$4&lt;=$D15),$G15,"")</f>
        <v/>
      </c>
      <c r="N15" s="20" t="str">
        <f>IF(AND(N$4&gt;=$C15,N$4&lt;=$D15),$G15,"")</f>
        <v/>
      </c>
      <c r="O15" s="20" t="str">
        <f>IF(AND(O$4&gt;=$C15,O$4&lt;=$D15),$G15,"")</f>
        <v/>
      </c>
      <c r="P15" s="20" t="str">
        <f>IF(AND(P$4&gt;=$C15,P$4&lt;=$D15),$G15,"")</f>
        <v/>
      </c>
      <c r="Q15" s="20" t="str">
        <f>IF(AND(Q$4&gt;=$C15,Q$4&lt;=$D15),$G15,"")</f>
        <v/>
      </c>
      <c r="R15" s="20" t="str">
        <f>IF(AND(R$4&gt;=$C15,R$4&lt;=$D15),$G15,"")</f>
        <v/>
      </c>
      <c r="S15" s="20" t="str">
        <f>IF(AND(S$4&gt;=$C15,S$4&lt;=$D15),$G15,"")</f>
        <v/>
      </c>
      <c r="T15" s="20" t="str">
        <f>IF(AND(T$4&gt;=$C15,T$4&lt;=$D15),$G15,"")</f>
        <v/>
      </c>
      <c r="U15" s="20" t="str">
        <f>IF(AND(U$4&gt;=$C15,U$4&lt;=$D15),$G15,"")</f>
        <v/>
      </c>
      <c r="V15" s="20" t="str">
        <f>IF(AND(V$4&gt;=$C15,V$4&lt;=$D15),$G15,"")</f>
        <v/>
      </c>
      <c r="W15" s="20" t="str">
        <f>IF(AND(W$4&gt;=$C15,W$4&lt;=$D15),$G15,"")</f>
        <v/>
      </c>
      <c r="X15" s="20" t="str">
        <f>IF(AND(X$4&gt;=$C15,X$4&lt;=$D15),$G15,"")</f>
        <v/>
      </c>
      <c r="Y15" s="20" t="str">
        <f>IF(AND(Y$4&gt;=$C15,Y$4&lt;=$D15),$G15,"")</f>
        <v/>
      </c>
      <c r="Z15" s="20" t="str">
        <f>IF(AND(Z$4&gt;=$C15,Z$4&lt;=$D15),$G15,"")</f>
        <v/>
      </c>
      <c r="AA15" s="20" t="str">
        <f>IF(AND(AA$4&gt;=$C15,AA$4&lt;=$D15),$G15,"")</f>
        <v/>
      </c>
    </row>
    <row r="16" spans="1:27" x14ac:dyDescent="0.2">
      <c r="A16" s="9"/>
      <c r="B16" s="9"/>
      <c r="C16" s="21"/>
      <c r="D16" s="21"/>
      <c r="E16" s="9"/>
      <c r="F16" s="23" t="str" cm="1">
        <f t="array" ref="F16">_xlfn.SWITCH(G16,"NOT STARTED",0,"EXP N1",25,"EXP N2",50,"ANALYSIS",75,"REORDER",25,"DONE",100,H36,"")</f>
        <v/>
      </c>
      <c r="G16" s="22"/>
      <c r="H16" s="20" t="str">
        <f>IF(AND(H$4&gt;=$C16,H$4&lt;=$D16),$G16,"")</f>
        <v/>
      </c>
      <c r="I16" s="20" t="str">
        <f>IF(AND(I$4&gt;=$C16,I$4&lt;=$D16),$G16,"")</f>
        <v/>
      </c>
      <c r="J16" s="20" t="str">
        <f>IF(AND(J$4&gt;=$C16,J$4&lt;=$D16),$G16,"")</f>
        <v/>
      </c>
      <c r="K16" s="20" t="str">
        <f>IF(AND(K$4&gt;=$C16,K$4&lt;=$D16),$G16,"")</f>
        <v/>
      </c>
      <c r="L16" s="20" t="str">
        <f>IF(AND(L$4&gt;=$C16,L$4&lt;=$D16),$G16,"")</f>
        <v/>
      </c>
      <c r="M16" s="20" t="str">
        <f>IF(AND(M$4&gt;=$C16,M$4&lt;=$D16),$G16,"")</f>
        <v/>
      </c>
      <c r="N16" s="20" t="str">
        <f>IF(AND(N$4&gt;=$C16,N$4&lt;=$D16),$G16,"")</f>
        <v/>
      </c>
      <c r="O16" s="20" t="str">
        <f>IF(AND(O$4&gt;=$C16,O$4&lt;=$D16),$G16,"")</f>
        <v/>
      </c>
      <c r="P16" s="20" t="str">
        <f>IF(AND(P$4&gt;=$C16,P$4&lt;=$D16),$G16,"")</f>
        <v/>
      </c>
      <c r="Q16" s="20" t="str">
        <f>IF(AND(Q$4&gt;=$C16,Q$4&lt;=$D16),$G16,"")</f>
        <v/>
      </c>
      <c r="R16" s="20" t="str">
        <f>IF(AND(R$4&gt;=$C16,R$4&lt;=$D16),$G16,"")</f>
        <v/>
      </c>
      <c r="S16" s="20" t="str">
        <f>IF(AND(S$4&gt;=$C16,S$4&lt;=$D16),$G16,"")</f>
        <v/>
      </c>
      <c r="T16" s="20" t="str">
        <f>IF(AND(T$4&gt;=$C16,T$4&lt;=$D16),$G16,"")</f>
        <v/>
      </c>
      <c r="U16" s="20" t="str">
        <f>IF(AND(U$4&gt;=$C16,U$4&lt;=$D16),$G16,"")</f>
        <v/>
      </c>
      <c r="V16" s="20" t="str">
        <f>IF(AND(V$4&gt;=$C16,V$4&lt;=$D16),$G16,"")</f>
        <v/>
      </c>
      <c r="W16" s="20" t="str">
        <f>IF(AND(W$4&gt;=$C16,W$4&lt;=$D16),$G16,"")</f>
        <v/>
      </c>
      <c r="X16" s="20" t="str">
        <f>IF(AND(X$4&gt;=$C16,X$4&lt;=$D16),$G16,"")</f>
        <v/>
      </c>
      <c r="Y16" s="20" t="str">
        <f>IF(AND(Y$4&gt;=$C16,Y$4&lt;=$D16),$G16,"")</f>
        <v/>
      </c>
      <c r="Z16" s="20" t="str">
        <f>IF(AND(Z$4&gt;=$C16,Z$4&lt;=$D16),$G16,"")</f>
        <v/>
      </c>
      <c r="AA16" s="20" t="str">
        <f>IF(AND(AA$4&gt;=$C16,AA$4&lt;=$D16),$G16,"")</f>
        <v/>
      </c>
    </row>
    <row r="17" spans="1:27" x14ac:dyDescent="0.2">
      <c r="A17" s="9"/>
      <c r="B17" s="9"/>
      <c r="C17" s="21"/>
      <c r="D17" s="21"/>
      <c r="E17" s="9"/>
      <c r="F17" s="23" t="str" cm="1">
        <f t="array" ref="F17">_xlfn.SWITCH(G17,"NOT STARTED",0,"EXP N1",25,"EXP N2",50,"ANALYSIS",75,"REORDER",25,"DONE",100,H37,"")</f>
        <v/>
      </c>
      <c r="G17" s="22"/>
      <c r="H17" s="20" t="str">
        <f t="shared" ref="H16:H20" si="2">IF(AND(H$4&gt;=$C17,H$4&lt;=$D17),$G17,"")</f>
        <v/>
      </c>
      <c r="I17" s="20" t="str">
        <f>IF(AND(I$4&gt;=$C17,I$4&lt;=$D17),$G17,"")</f>
        <v/>
      </c>
      <c r="J17" s="20" t="str">
        <f>IF(AND(J$4&gt;=$C17,J$4&lt;=$D17),$G17,"")</f>
        <v/>
      </c>
      <c r="K17" s="20" t="str">
        <f>IF(AND(K$4&gt;=$C17,K$4&lt;=$D17),$G17,"")</f>
        <v/>
      </c>
      <c r="L17" s="20" t="str">
        <f>IF(AND(L$4&gt;=$C17,L$4&lt;=$D17),$G17,"")</f>
        <v/>
      </c>
      <c r="M17" s="20" t="str">
        <f>IF(AND(M$4&gt;=$C17,M$4&lt;=$D17),$G17,"")</f>
        <v/>
      </c>
      <c r="N17" s="20" t="str">
        <f>IF(AND(N$4&gt;=$C17,N$4&lt;=$D17),$G17,"")</f>
        <v/>
      </c>
      <c r="O17" s="20" t="str">
        <f>IF(AND(O$4&gt;=$C17,O$4&lt;=$D17),$G17,"")</f>
        <v/>
      </c>
      <c r="P17" s="20" t="str">
        <f>IF(AND(P$4&gt;=$C17,P$4&lt;=$D17),$G17,"")</f>
        <v/>
      </c>
      <c r="Q17" s="20" t="str">
        <f>IF(AND(Q$4&gt;=$C17,Q$4&lt;=$D17),$G17,"")</f>
        <v/>
      </c>
      <c r="R17" s="20" t="str">
        <f>IF(AND(R$4&gt;=$C17,R$4&lt;=$D17),$G17,"")</f>
        <v/>
      </c>
      <c r="S17" s="20" t="str">
        <f>IF(AND(S$4&gt;=$C17,S$4&lt;=$D17),$G17,"")</f>
        <v/>
      </c>
      <c r="T17" s="20" t="str">
        <f>IF(AND(T$4&gt;=$C17,T$4&lt;=$D17),$G17,"")</f>
        <v/>
      </c>
      <c r="U17" s="20" t="str">
        <f>IF(AND(U$4&gt;=$C17,U$4&lt;=$D17),$G17,"")</f>
        <v/>
      </c>
      <c r="V17" s="20" t="str">
        <f>IF(AND(V$4&gt;=$C17,V$4&lt;=$D17),$G17,"")</f>
        <v/>
      </c>
      <c r="W17" s="20" t="str">
        <f>IF(AND(W$4&gt;=$C17,W$4&lt;=$D17),$G17,"")</f>
        <v/>
      </c>
      <c r="X17" s="20" t="str">
        <f t="shared" ref="X17:X27" si="3">IF(AND(X$4&gt;=$C17,X$4&lt;=$D17),$G17,"")</f>
        <v/>
      </c>
      <c r="Y17" s="20" t="str">
        <f>IF(AND(Y$4&gt;=$C17,Y$4&lt;=$D17),$G17,"")</f>
        <v/>
      </c>
      <c r="Z17" s="20" t="str">
        <f>IF(AND(Z$4&gt;=$C17,Z$4&lt;=$D17),$G17,"")</f>
        <v/>
      </c>
      <c r="AA17" s="20" t="str">
        <f>IF(AND(AA$4&gt;=$C17,AA$4&lt;=$D17),$G17,"")</f>
        <v/>
      </c>
    </row>
    <row r="18" spans="1:27" x14ac:dyDescent="0.2">
      <c r="A18" s="9"/>
      <c r="B18" s="9"/>
      <c r="C18" s="21"/>
      <c r="D18" s="21"/>
      <c r="E18" s="9"/>
      <c r="F18" s="23" t="str" cm="1">
        <f t="array" ref="F18">_xlfn.SWITCH(G18,"NOT STARTED",0,"EXP N1",25,"EXP N2",50,"ANALYSIS",75,"REORDER",25,"DONE",100,H38,"")</f>
        <v/>
      </c>
      <c r="G18" s="22"/>
      <c r="H18" s="20" t="str">
        <f t="shared" si="2"/>
        <v/>
      </c>
      <c r="I18" s="20" t="str">
        <f>IF(AND(I$4&gt;=$C18,I$4&lt;=$D18),$G18,"")</f>
        <v/>
      </c>
      <c r="J18" s="20" t="str">
        <f>IF(AND(J$4&gt;=$C18,J$4&lt;=$D18),$G18,"")</f>
        <v/>
      </c>
      <c r="K18" s="20" t="str">
        <f>IF(AND(K$4&gt;=$C18,K$4&lt;=$D18),$G18,"")</f>
        <v/>
      </c>
      <c r="L18" s="20" t="str">
        <f>IF(AND(L$4&gt;=$C18,L$4&lt;=$D18),$G18,"")</f>
        <v/>
      </c>
      <c r="M18" s="20" t="str">
        <f>IF(AND(M$4&gt;=$C18,M$4&lt;=$D18),$G18,"")</f>
        <v/>
      </c>
      <c r="N18" s="20" t="str">
        <f>IF(AND(N$4&gt;=$C18,N$4&lt;=$D18),$G18,"")</f>
        <v/>
      </c>
      <c r="O18" s="20" t="str">
        <f>IF(AND(O$4&gt;=$C18,O$4&lt;=$D18),$G18,"")</f>
        <v/>
      </c>
      <c r="P18" s="20" t="str">
        <f>IF(AND(P$4&gt;=$C18,P$4&lt;=$D18),$G18,"")</f>
        <v/>
      </c>
      <c r="Q18" s="20" t="str">
        <f>IF(AND(Q$4&gt;=$C18,Q$4&lt;=$D18),$G18,"")</f>
        <v/>
      </c>
      <c r="R18" s="20" t="str">
        <f>IF(AND(R$4&gt;=$C18,R$4&lt;=$D18),$G18,"")</f>
        <v/>
      </c>
      <c r="S18" s="20" t="str">
        <f>IF(AND(S$4&gt;=$C18,S$4&lt;=$D18),$G18,"")</f>
        <v/>
      </c>
      <c r="T18" s="20" t="str">
        <f>IF(AND(T$4&gt;=$C18,T$4&lt;=$D18),$G18,"")</f>
        <v/>
      </c>
      <c r="U18" s="20" t="str">
        <f>IF(AND(U$4&gt;=$C18,U$4&lt;=$D18),$G18,"")</f>
        <v/>
      </c>
      <c r="V18" s="20" t="str">
        <f>IF(AND(V$4&gt;=$C18,V$4&lt;=$D18),$G18,"")</f>
        <v/>
      </c>
      <c r="W18" s="20" t="str">
        <f>IF(AND(W$4&gt;=$C18,W$4&lt;=$D18),$G18,"")</f>
        <v/>
      </c>
      <c r="X18" s="20" t="str">
        <f t="shared" si="3"/>
        <v/>
      </c>
      <c r="Y18" s="20" t="str">
        <f>IF(AND(Y$4&gt;=$C18,Y$4&lt;=$D18),$G18,"")</f>
        <v/>
      </c>
      <c r="Z18" s="20" t="str">
        <f>IF(AND(Z$4&gt;=$C18,Z$4&lt;=$D18),$G18,"")</f>
        <v/>
      </c>
      <c r="AA18" s="20" t="str">
        <f>IF(AND(AA$4&gt;=$C18,AA$4&lt;=$D18),$G18,"")</f>
        <v/>
      </c>
    </row>
    <row r="19" spans="1:27" x14ac:dyDescent="0.2">
      <c r="A19" s="9"/>
      <c r="B19" s="9"/>
      <c r="C19" s="21"/>
      <c r="D19" s="21"/>
      <c r="E19" s="9"/>
      <c r="F19" s="23" t="str" cm="1">
        <f t="array" ref="F19">_xlfn.SWITCH(G19,"NOT STARTED",0,"EXP N1",25,"EXP N2",50,"ANALYSIS",75,"REORDER",25,"DONE",100,H39,"")</f>
        <v/>
      </c>
      <c r="G19" s="22"/>
      <c r="H19" s="20" t="str">
        <f t="shared" si="2"/>
        <v/>
      </c>
      <c r="I19" s="20" t="str">
        <f>IF(AND(I$4&gt;=$C19,I$4&lt;=$D19),$G19,"")</f>
        <v/>
      </c>
      <c r="J19" s="20" t="str">
        <f>IF(AND(J$4&gt;=$C19,J$4&lt;=$D19),$G19,"")</f>
        <v/>
      </c>
      <c r="K19" s="20" t="str">
        <f>IF(AND(K$4&gt;=$C19,K$4&lt;=$D19),$G19,"")</f>
        <v/>
      </c>
      <c r="L19" s="20" t="str">
        <f>IF(AND(L$4&gt;=$C19,L$4&lt;=$D19),$G19,"")</f>
        <v/>
      </c>
      <c r="M19" s="20" t="str">
        <f>IF(AND(M$4&gt;=$C19,M$4&lt;=$D19),$G19,"")</f>
        <v/>
      </c>
      <c r="N19" s="20" t="str">
        <f>IF(AND(N$4&gt;=$C19,N$4&lt;=$D19),$G19,"")</f>
        <v/>
      </c>
      <c r="O19" s="20" t="str">
        <f>IF(AND(O$4&gt;=$C19,O$4&lt;=$D19),$G19,"")</f>
        <v/>
      </c>
      <c r="P19" s="20" t="str">
        <f>IF(AND(P$4&gt;=$C19,P$4&lt;=$D19),$G19,"")</f>
        <v/>
      </c>
      <c r="Q19" s="20" t="str">
        <f>IF(AND(Q$4&gt;=$C19,Q$4&lt;=$D19),$G19,"")</f>
        <v/>
      </c>
      <c r="R19" s="20" t="str">
        <f>IF(AND(R$4&gt;=$C19,R$4&lt;=$D19),$G19,"")</f>
        <v/>
      </c>
      <c r="S19" s="20" t="str">
        <f>IF(AND(S$4&gt;=$C19,S$4&lt;=$D19),$G19,"")</f>
        <v/>
      </c>
      <c r="T19" s="20" t="str">
        <f>IF(AND(T$4&gt;=$C19,T$4&lt;=$D19),$G19,"")</f>
        <v/>
      </c>
      <c r="U19" s="20" t="str">
        <f>IF(AND(U$4&gt;=$C19,U$4&lt;=$D19),$G19,"")</f>
        <v/>
      </c>
      <c r="V19" s="20" t="str">
        <f>IF(AND(V$4&gt;=$C19,V$4&lt;=$D19),$G19,"")</f>
        <v/>
      </c>
      <c r="W19" s="20" t="str">
        <f>IF(AND(W$4&gt;=$C19,W$4&lt;=$D19),$G19,"")</f>
        <v/>
      </c>
      <c r="X19" s="20" t="str">
        <f t="shared" si="3"/>
        <v/>
      </c>
      <c r="Y19" s="20" t="str">
        <f>IF(AND(Y$4&gt;=$C19,Y$4&lt;=$D19),$G19,"")</f>
        <v/>
      </c>
      <c r="Z19" s="20" t="str">
        <f>IF(AND(Z$4&gt;=$C19,Z$4&lt;=$D19),$G19,"")</f>
        <v/>
      </c>
      <c r="AA19" s="20" t="str">
        <f>IF(AND(AA$4&gt;=$C19,AA$4&lt;=$D19),$G19,"")</f>
        <v/>
      </c>
    </row>
    <row r="20" spans="1:27" x14ac:dyDescent="0.2">
      <c r="A20" s="9"/>
      <c r="B20" s="9"/>
      <c r="C20" s="21"/>
      <c r="D20" s="21"/>
      <c r="E20" s="9"/>
      <c r="F20" s="23" t="str" cm="1">
        <f t="array" ref="F20">_xlfn.SWITCH(G20,"NOT STARTED",0,"EXP N1",25,"EXP N2",50,"ANALYSIS",75,"REORDER",25,"DONE",100,H40,"")</f>
        <v/>
      </c>
      <c r="G20" s="22"/>
      <c r="H20" s="20" t="str">
        <f t="shared" si="2"/>
        <v/>
      </c>
      <c r="I20" s="20" t="str">
        <f>IF(AND(I$4&gt;=$C20,I$4&lt;=$D20),$G20,"")</f>
        <v/>
      </c>
      <c r="J20" s="20" t="str">
        <f>IF(AND(J$4&gt;=$C20,J$4&lt;=$D20),$G20,"")</f>
        <v/>
      </c>
      <c r="K20" s="20" t="str">
        <f>IF(AND(K$4&gt;=$C20,K$4&lt;=$D20),$G20,"")</f>
        <v/>
      </c>
      <c r="L20" s="20" t="str">
        <f>IF(AND(L$4&gt;=$C20,L$4&lt;=$D20),$G20,"")</f>
        <v/>
      </c>
      <c r="M20" s="20" t="str">
        <f>IF(AND(M$4&gt;=$C20,M$4&lt;=$D20),$G20,"")</f>
        <v/>
      </c>
      <c r="N20" s="20" t="str">
        <f>IF(AND(N$4&gt;=$C20,N$4&lt;=$D20),$G20,"")</f>
        <v/>
      </c>
      <c r="O20" s="20" t="str">
        <f>IF(AND(O$4&gt;=$C20,O$4&lt;=$D20),$G20,"")</f>
        <v/>
      </c>
      <c r="P20" s="20" t="str">
        <f>IF(AND(P$4&gt;=$C20,P$4&lt;=$D20),$G20,"")</f>
        <v/>
      </c>
      <c r="Q20" s="20" t="str">
        <f>IF(AND(Q$4&gt;=$C20,Q$4&lt;=$D20),$G20,"")</f>
        <v/>
      </c>
      <c r="R20" s="20" t="str">
        <f>IF(AND(R$4&gt;=$C20,R$4&lt;=$D20),$G20,"")</f>
        <v/>
      </c>
      <c r="S20" s="20" t="str">
        <f>IF(AND(S$4&gt;=$C20,S$4&lt;=$D20),$G20,"")</f>
        <v/>
      </c>
      <c r="T20" s="20" t="str">
        <f>IF(AND(T$4&gt;=$C20,T$4&lt;=$D20),$G20,"")</f>
        <v/>
      </c>
      <c r="U20" s="20" t="str">
        <f>IF(AND(U$4&gt;=$C20,U$4&lt;=$D20),$G20,"")</f>
        <v/>
      </c>
      <c r="V20" s="20" t="str">
        <f>IF(AND(V$4&gt;=$C20,V$4&lt;=$D20),$G20,"")</f>
        <v/>
      </c>
      <c r="W20" s="20" t="str">
        <f>IF(AND(W$4&gt;=$C20,W$4&lt;=$D20),$G20,"")</f>
        <v/>
      </c>
      <c r="X20" s="20" t="str">
        <f t="shared" si="3"/>
        <v/>
      </c>
      <c r="Y20" s="20" t="str">
        <f>IF(AND(Y$4&gt;=$C20,Y$4&lt;=$D20),$G20,"")</f>
        <v/>
      </c>
      <c r="Z20" s="20" t="str">
        <f>IF(AND(Z$4&gt;=$C20,Z$4&lt;=$D20),$G20,"")</f>
        <v/>
      </c>
      <c r="AA20" s="20" t="str">
        <f>IF(AND(AA$4&gt;=$C20,AA$4&lt;=$D20),$G20,"")</f>
        <v/>
      </c>
    </row>
    <row r="21" spans="1:27" x14ac:dyDescent="0.2">
      <c r="A21" s="9"/>
      <c r="B21" s="9"/>
      <c r="C21" s="21"/>
      <c r="D21" s="21"/>
      <c r="E21" s="9"/>
      <c r="F21" s="23" t="str" cm="1">
        <f t="array" ref="F21">_xlfn.SWITCH(G21,"NOT STARTED",0,"EXP N1",25,"EXP N2",50,"ANALYSIS",75,"REORDER",25,"DONE",100,H41,"")</f>
        <v/>
      </c>
      <c r="G21" s="22"/>
      <c r="H21" s="20" t="str">
        <f>IF(AND(H$4&gt;=$C21,H$4&lt;=$D21),$G21,"")</f>
        <v/>
      </c>
      <c r="I21" s="20" t="str">
        <f>IF(AND(I$4&gt;=$C21,I$4&lt;=$D21),$G21,"")</f>
        <v/>
      </c>
      <c r="J21" s="20" t="str">
        <f>IF(AND(J$4&gt;=$C21,J$4&lt;=$D21),$G21,"")</f>
        <v/>
      </c>
      <c r="K21" s="20" t="str">
        <f>IF(AND(K$4&gt;=$C21,K$4&lt;=$D21),$G21,"")</f>
        <v/>
      </c>
      <c r="L21" s="20" t="str">
        <f>IF(AND(L$4&gt;=$C21,L$4&lt;=$D21),$G21,"")</f>
        <v/>
      </c>
      <c r="M21" s="20" t="str">
        <f>IF(AND(M$4&gt;=$C21,M$4&lt;=$D21),$G21,"")</f>
        <v/>
      </c>
      <c r="N21" s="20" t="str">
        <f>IF(AND(N$4&gt;=$C21,N$4&lt;=$D21),$G21,"")</f>
        <v/>
      </c>
      <c r="O21" s="20" t="str">
        <f>IF(AND(O$4&gt;=$C21,O$4&lt;=$D21),$G21,"")</f>
        <v/>
      </c>
      <c r="P21" s="20" t="str">
        <f>IF(AND(P$4&gt;=$C21,P$4&lt;=$D21),$G21,"")</f>
        <v/>
      </c>
      <c r="Q21" s="20" t="str">
        <f>IF(AND(Q$4&gt;=$C21,Q$4&lt;=$D21),$G21,"")</f>
        <v/>
      </c>
      <c r="R21" s="20" t="str">
        <f>IF(AND(R$4&gt;=$C21,R$4&lt;=$D21),$G21,"")</f>
        <v/>
      </c>
      <c r="S21" s="20" t="str">
        <f>IF(AND(S$4&gt;=$C21,S$4&lt;=$D21),$G21,"")</f>
        <v/>
      </c>
      <c r="T21" s="20" t="str">
        <f>IF(AND(T$4&gt;=$C21,T$4&lt;=$D21),$G21,"")</f>
        <v/>
      </c>
      <c r="U21" s="20" t="str">
        <f>IF(AND(U$4&gt;=$C21,U$4&lt;=$D21),$G21,"")</f>
        <v/>
      </c>
      <c r="V21" s="20" t="str">
        <f>IF(AND(V$4&gt;=$C21,V$4&lt;=$D21),$G21,"")</f>
        <v/>
      </c>
      <c r="W21" s="20" t="str">
        <f>IF(AND(W$4&gt;=$C21,W$4&lt;=$D21),$G21,"")</f>
        <v/>
      </c>
      <c r="X21" s="20" t="str">
        <f t="shared" si="3"/>
        <v/>
      </c>
      <c r="Y21" s="20" t="str">
        <f>IF(AND(Y$4&gt;=$C21,Y$4&lt;=$D21),$G21,"")</f>
        <v/>
      </c>
      <c r="Z21" s="20" t="str">
        <f>IF(AND(Z$4&gt;=$C21,Z$4&lt;=$D21),$G21,"")</f>
        <v/>
      </c>
      <c r="AA21" s="20" t="str">
        <f>IF(AND(AA$4&gt;=$C21,AA$4&lt;=$D21),$G21,"")</f>
        <v/>
      </c>
    </row>
    <row r="22" spans="1:27" x14ac:dyDescent="0.2">
      <c r="A22" s="9"/>
      <c r="B22" s="9"/>
      <c r="C22" s="21"/>
      <c r="D22" s="21"/>
      <c r="E22" s="9"/>
      <c r="F22" s="23" t="str" cm="1">
        <f t="array" ref="F22">_xlfn.SWITCH(G22,"NOT STARTED",0,"EXP N1",25,"EXP N2",50,"ANALYSIS",75,"REORDER",25,"DONE",100,H42,"")</f>
        <v/>
      </c>
      <c r="G22" s="22"/>
      <c r="H22" s="9"/>
      <c r="I22" s="20" t="str">
        <f>IF(AND(I$4&gt;=$C22,I$4&lt;=$D22),$G22,"")</f>
        <v/>
      </c>
      <c r="J22" s="20" t="str">
        <f>IF(AND(J$4&gt;=$C22,J$4&lt;=$D22),$G22,"")</f>
        <v/>
      </c>
      <c r="K22" s="20" t="str">
        <f>IF(AND(K$4&gt;=$C22,K$4&lt;=$D22),$G22,"")</f>
        <v/>
      </c>
      <c r="L22" s="20" t="str">
        <f>IF(AND(L$4&gt;=$C22,L$4&lt;=$D22),$G22,"")</f>
        <v/>
      </c>
      <c r="M22" s="20" t="str">
        <f>IF(AND(M$4&gt;=$C22,M$4&lt;=$D22),$G22,"")</f>
        <v/>
      </c>
      <c r="N22" s="20" t="str">
        <f>IF(AND(N$4&gt;=$C22,N$4&lt;=$D22),$G22,"")</f>
        <v/>
      </c>
      <c r="O22" s="20" t="str">
        <f>IF(AND(O$4&gt;=$C22,O$4&lt;=$D22),$G22,"")</f>
        <v/>
      </c>
      <c r="P22" s="20" t="str">
        <f>IF(AND(P$4&gt;=$C22,P$4&lt;=$D22),$G22,"")</f>
        <v/>
      </c>
      <c r="Q22" s="20" t="str">
        <f>IF(AND(Q$4&gt;=$C22,Q$4&lt;=$D22),$G22,"")</f>
        <v/>
      </c>
      <c r="R22" s="20" t="str">
        <f>IF(AND(R$4&gt;=$C22,R$4&lt;=$D22),$G22,"")</f>
        <v/>
      </c>
      <c r="S22" s="20" t="str">
        <f>IF(AND(S$4&gt;=$C22,S$4&lt;=$D22),$G22,"")</f>
        <v/>
      </c>
      <c r="T22" s="20" t="str">
        <f>IF(AND(T$4&gt;=$C22,T$4&lt;=$D22),$G22,"")</f>
        <v/>
      </c>
      <c r="U22" s="20" t="str">
        <f>IF(AND(U$4&gt;=$C22,U$4&lt;=$D22),$G22,"")</f>
        <v/>
      </c>
      <c r="V22" s="20" t="str">
        <f>IF(AND(V$4&gt;=$C22,V$4&lt;=$D22),$G22,"")</f>
        <v/>
      </c>
      <c r="W22" s="20" t="str">
        <f>IF(AND(W$4&gt;=$C22,W$4&lt;=$D22),$G22,"")</f>
        <v/>
      </c>
      <c r="X22" s="20" t="str">
        <f t="shared" si="3"/>
        <v/>
      </c>
      <c r="Y22" s="20" t="str">
        <f>IF(AND(Y$4&gt;=$C22,Y$4&lt;=$D22),$G22,"")</f>
        <v/>
      </c>
      <c r="Z22" s="20" t="str">
        <f>IF(AND(Z$4&gt;=$C22,Z$4&lt;=$D22),$G22,"")</f>
        <v/>
      </c>
      <c r="AA22" s="20" t="str">
        <f>IF(AND(AA$4&gt;=$C22,AA$4&lt;=$D22),$G22,"")</f>
        <v/>
      </c>
    </row>
    <row r="23" spans="1:27" x14ac:dyDescent="0.2">
      <c r="A23" s="9"/>
      <c r="B23" s="9"/>
      <c r="C23" s="21"/>
      <c r="D23" s="21"/>
      <c r="E23" s="9"/>
      <c r="F23" s="23" t="str" cm="1">
        <f t="array" ref="F23">_xlfn.SWITCH(G23,"NOT STARTED",0,"EXP N1",25,"EXP N2",50,"ANALYSIS",75,"REORDER",25,"DONE",100,H43,"")</f>
        <v/>
      </c>
      <c r="G23" s="22"/>
      <c r="H23" s="9"/>
      <c r="I23" s="20" t="str">
        <f>IF(AND(I$4&gt;=$C23,I$4&lt;=$D23),$G23,"")</f>
        <v/>
      </c>
      <c r="J23" s="20" t="str">
        <f>IF(AND(J$4&gt;=$C23,J$4&lt;=$D23),$G23,"")</f>
        <v/>
      </c>
      <c r="K23" s="20" t="str">
        <f>IF(AND(K$4&gt;=$C23,K$4&lt;=$D23),$G23,"")</f>
        <v/>
      </c>
      <c r="L23" s="20" t="str">
        <f>IF(AND(L$4&gt;=$C23,L$4&lt;=$D23),$G23,"")</f>
        <v/>
      </c>
      <c r="M23" s="20" t="str">
        <f>IF(AND(M$4&gt;=$C23,M$4&lt;=$D23),$G23,"")</f>
        <v/>
      </c>
      <c r="N23" s="20" t="str">
        <f>IF(AND(N$4&gt;=$C23,N$4&lt;=$D23),$G23,"")</f>
        <v/>
      </c>
      <c r="O23" s="20" t="str">
        <f>IF(AND(O$4&gt;=$C23,O$4&lt;=$D23),$G23,"")</f>
        <v/>
      </c>
      <c r="P23" s="20" t="str">
        <f>IF(AND(P$4&gt;=$C23,P$4&lt;=$D23),$G23,"")</f>
        <v/>
      </c>
      <c r="Q23" s="20" t="str">
        <f>IF(AND(Q$4&gt;=$C23,Q$4&lt;=$D23),$G23,"")</f>
        <v/>
      </c>
      <c r="R23" s="20" t="str">
        <f>IF(AND(R$4&gt;=$C23,R$4&lt;=$D23),$G23,"")</f>
        <v/>
      </c>
      <c r="S23" s="20" t="str">
        <f>IF(AND(S$4&gt;=$C23,S$4&lt;=$D23),$G23,"")</f>
        <v/>
      </c>
      <c r="T23" s="20" t="str">
        <f>IF(AND(T$4&gt;=$C23,T$4&lt;=$D23),$G23,"")</f>
        <v/>
      </c>
      <c r="U23" s="20" t="str">
        <f>IF(AND(U$4&gt;=$C23,U$4&lt;=$D23),$G23,"")</f>
        <v/>
      </c>
      <c r="V23" s="20" t="str">
        <f>IF(AND(V$4&gt;=$C23,V$4&lt;=$D23),$G23,"")</f>
        <v/>
      </c>
      <c r="W23" s="20" t="str">
        <f>IF(AND(W$4&gt;=$C23,W$4&lt;=$D23),$G23,"")</f>
        <v/>
      </c>
      <c r="X23" s="20" t="str">
        <f t="shared" si="3"/>
        <v/>
      </c>
      <c r="Y23" s="20" t="str">
        <f>IF(AND(Y$4&gt;=$C23,Y$4&lt;=$D23),$G23,"")</f>
        <v/>
      </c>
      <c r="Z23" s="20" t="str">
        <f>IF(AND(Z$4&gt;=$C23,Z$4&lt;=$D23),$G23,"")</f>
        <v/>
      </c>
      <c r="AA23" s="20" t="str">
        <f>IF(AND(AA$4&gt;=$C23,AA$4&lt;=$D23),$G23,"")</f>
        <v/>
      </c>
    </row>
    <row r="24" spans="1:27" x14ac:dyDescent="0.2">
      <c r="A24" s="9"/>
      <c r="B24" s="9"/>
      <c r="C24" s="21"/>
      <c r="D24" s="21"/>
      <c r="E24" s="9"/>
      <c r="F24" s="23" t="str" cm="1">
        <f t="array" ref="F24">_xlfn.SWITCH(G24,"NOT STARTED",0,"EXP N1",25,"EXP N2",50,"ANALYSIS",75,"REORDER",25,"DONE",100,H44,"")</f>
        <v/>
      </c>
      <c r="G24" s="22"/>
      <c r="H24" s="9"/>
      <c r="I24" s="20" t="str">
        <f>IF(AND(I$4&gt;=$C24,I$4&lt;=$D24),$G24,"")</f>
        <v/>
      </c>
      <c r="J24" s="20" t="str">
        <f>IF(AND(J$4&gt;=$C24,J$4&lt;=$D24),$G24,"")</f>
        <v/>
      </c>
      <c r="K24" s="20" t="str">
        <f>IF(AND(K$4&gt;=$C24,K$4&lt;=$D24),$G24,"")</f>
        <v/>
      </c>
      <c r="L24" s="20" t="str">
        <f>IF(AND(L$4&gt;=$C24,L$4&lt;=$D24),$G24,"")</f>
        <v/>
      </c>
      <c r="M24" s="20" t="str">
        <f>IF(AND(M$4&gt;=$C24,M$4&lt;=$D24),$G24,"")</f>
        <v/>
      </c>
      <c r="N24" s="20" t="str">
        <f>IF(AND(N$4&gt;=$C24,N$4&lt;=$D24),$G24,"")</f>
        <v/>
      </c>
      <c r="O24" s="20" t="str">
        <f>IF(AND(O$4&gt;=$C24,O$4&lt;=$D24),$G24,"")</f>
        <v/>
      </c>
      <c r="P24" s="20" t="str">
        <f>IF(AND(P$4&gt;=$C24,P$4&lt;=$D24),$G24,"")</f>
        <v/>
      </c>
      <c r="Q24" s="20" t="str">
        <f>IF(AND(Q$4&gt;=$C24,Q$4&lt;=$D24),$G24,"")</f>
        <v/>
      </c>
      <c r="R24" s="20" t="str">
        <f>IF(AND(R$4&gt;=$C24,R$4&lt;=$D24),$G24,"")</f>
        <v/>
      </c>
      <c r="S24" s="20" t="str">
        <f>IF(AND(S$4&gt;=$C24,S$4&lt;=$D24),$G24,"")</f>
        <v/>
      </c>
      <c r="T24" s="20" t="str">
        <f>IF(AND(T$4&gt;=$C24,T$4&lt;=$D24),$G24,"")</f>
        <v/>
      </c>
      <c r="U24" s="20" t="str">
        <f>IF(AND(U$4&gt;=$C24,U$4&lt;=$D24),$G24,"")</f>
        <v/>
      </c>
      <c r="V24" s="20" t="str">
        <f>IF(AND(V$4&gt;=$C24,V$4&lt;=$D24),$G24,"")</f>
        <v/>
      </c>
      <c r="W24" s="20" t="str">
        <f>IF(AND(W$4&gt;=$C24,W$4&lt;=$D24),$G24,"")</f>
        <v/>
      </c>
      <c r="X24" s="20" t="str">
        <f t="shared" si="3"/>
        <v/>
      </c>
      <c r="Y24" s="20" t="str">
        <f>IF(AND(Y$4&gt;=$C24,Y$4&lt;=$D24),$G24,"")</f>
        <v/>
      </c>
      <c r="Z24" s="20" t="str">
        <f>IF(AND(Z$4&gt;=$C24,Z$4&lt;=$D24),$G24,"")</f>
        <v/>
      </c>
      <c r="AA24" s="20" t="str">
        <f>IF(AND(AA$4&gt;=$C24,AA$4&lt;=$D24),$G24,"")</f>
        <v/>
      </c>
    </row>
    <row r="25" spans="1:27" x14ac:dyDescent="0.2">
      <c r="A25" s="9"/>
      <c r="B25" s="9"/>
      <c r="C25" s="21"/>
      <c r="D25" s="21"/>
      <c r="E25" s="9"/>
      <c r="F25" s="23" t="str" cm="1">
        <f t="array" ref="F25">_xlfn.SWITCH(G25,"NOT STARTED",0,"EXP N1",25,"EXP N2",50,"ANALYSIS",75,"REORDER",25,"DONE",100,H45,"")</f>
        <v/>
      </c>
      <c r="G25" s="22"/>
      <c r="H25" s="9"/>
      <c r="I25" s="20" t="str">
        <f>IF(AND(I$4&gt;=$C25,I$4&lt;=$D25),$G25,"")</f>
        <v/>
      </c>
      <c r="J25" s="20" t="str">
        <f>IF(AND(J$4&gt;=$C25,J$4&lt;=$D25),$G25,"")</f>
        <v/>
      </c>
      <c r="K25" s="20" t="str">
        <f>IF(AND(K$4&gt;=$C25,K$4&lt;=$D25),$G25,"")</f>
        <v/>
      </c>
      <c r="L25" s="20" t="str">
        <f>IF(AND(L$4&gt;=$C25,L$4&lt;=$D25),$G25,"")</f>
        <v/>
      </c>
      <c r="M25" s="20" t="str">
        <f>IF(AND(M$4&gt;=$C25,M$4&lt;=$D25),$G25,"")</f>
        <v/>
      </c>
      <c r="N25" s="20" t="str">
        <f>IF(AND(N$4&gt;=$C25,N$4&lt;=$D25),$G25,"")</f>
        <v/>
      </c>
      <c r="O25" s="20" t="str">
        <f>IF(AND(O$4&gt;=$C25,O$4&lt;=$D25),$G25,"")</f>
        <v/>
      </c>
      <c r="P25" s="20" t="str">
        <f>IF(AND(P$4&gt;=$C25,P$4&lt;=$D25),$G25,"")</f>
        <v/>
      </c>
      <c r="Q25" s="20" t="str">
        <f>IF(AND(Q$4&gt;=$C25,Q$4&lt;=$D25),$G25,"")</f>
        <v/>
      </c>
      <c r="R25" s="20" t="str">
        <f>IF(AND(R$4&gt;=$C25,R$4&lt;=$D25),$G25,"")</f>
        <v/>
      </c>
      <c r="S25" s="20" t="str">
        <f>IF(AND(S$4&gt;=$C25,S$4&lt;=$D25),$G25,"")</f>
        <v/>
      </c>
      <c r="T25" s="20" t="str">
        <f>IF(AND(T$4&gt;=$C25,T$4&lt;=$D25),$G25,"")</f>
        <v/>
      </c>
      <c r="U25" s="20" t="str">
        <f>IF(AND(U$4&gt;=$C25,U$4&lt;=$D25),$G25,"")</f>
        <v/>
      </c>
      <c r="V25" s="20" t="str">
        <f>IF(AND(V$4&gt;=$C25,V$4&lt;=$D25),$G25,"")</f>
        <v/>
      </c>
      <c r="W25" s="20" t="str">
        <f>IF(AND(W$4&gt;=$C25,W$4&lt;=$D25),$G25,"")</f>
        <v/>
      </c>
      <c r="X25" s="20" t="str">
        <f t="shared" si="3"/>
        <v/>
      </c>
      <c r="Y25" s="20" t="str">
        <f>IF(AND(Y$4&gt;=$C25,Y$4&lt;=$D25),$G25,"")</f>
        <v/>
      </c>
      <c r="Z25" s="20" t="str">
        <f>IF(AND(Z$4&gt;=$C25,Z$4&lt;=$D25),$G25,"")</f>
        <v/>
      </c>
      <c r="AA25" s="20" t="str">
        <f>IF(AND(AA$4&gt;=$C25,AA$4&lt;=$D25),$G25,"")</f>
        <v/>
      </c>
    </row>
    <row r="26" spans="1:27" x14ac:dyDescent="0.2">
      <c r="A26" s="9"/>
      <c r="B26" s="9"/>
      <c r="C26" s="21"/>
      <c r="D26" s="21"/>
      <c r="E26" s="9"/>
      <c r="F26" s="23" t="str" cm="1">
        <f t="array" ref="F26">_xlfn.SWITCH(G26,"NOT STARTED",0,"EXP N1",25,"EXP N2",50,"ANALYSIS",75,"REORDER",25,"DONE",100,H46,"")</f>
        <v/>
      </c>
      <c r="G26" s="22"/>
      <c r="H26" s="9"/>
      <c r="I26" s="20" t="str">
        <f>IF(AND(I$4&gt;=$C26,I$4&lt;=$D26),$G26,"")</f>
        <v/>
      </c>
      <c r="J26" s="20" t="str">
        <f>IF(AND(J$4&gt;=$C26,J$4&lt;=$D26),$G26,"")</f>
        <v/>
      </c>
      <c r="K26" s="20" t="str">
        <f>IF(AND(K$4&gt;=$C26,K$4&lt;=$D26),$G26,"")</f>
        <v/>
      </c>
      <c r="L26" s="20" t="str">
        <f>IF(AND(L$4&gt;=$C26,L$4&lt;=$D26),$G26,"")</f>
        <v/>
      </c>
      <c r="M26" s="20" t="str">
        <f>IF(AND(M$4&gt;=$C26,M$4&lt;=$D26),$G26,"")</f>
        <v/>
      </c>
      <c r="N26" s="20" t="str">
        <f>IF(AND(N$4&gt;=$C26,N$4&lt;=$D26),$G26,"")</f>
        <v/>
      </c>
      <c r="O26" s="20" t="str">
        <f>IF(AND(O$4&gt;=$C26,O$4&lt;=$D26),$G26,"")</f>
        <v/>
      </c>
      <c r="P26" s="20" t="str">
        <f>IF(AND(P$4&gt;=$C26,P$4&lt;=$D26),$G26,"")</f>
        <v/>
      </c>
      <c r="Q26" s="20" t="str">
        <f>IF(AND(Q$4&gt;=$C26,Q$4&lt;=$D26),$G26,"")</f>
        <v/>
      </c>
      <c r="R26" s="20" t="str">
        <f>IF(AND(R$4&gt;=$C26,R$4&lt;=$D26),$G26,"")</f>
        <v/>
      </c>
      <c r="S26" s="20" t="str">
        <f>IF(AND(S$4&gt;=$C26,S$4&lt;=$D26),$G26,"")</f>
        <v/>
      </c>
      <c r="T26" s="20" t="str">
        <f>IF(AND(T$4&gt;=$C26,T$4&lt;=$D26),$G26,"")</f>
        <v/>
      </c>
      <c r="U26" s="20" t="str">
        <f>IF(AND(U$4&gt;=$C26,U$4&lt;=$D26),$G26,"")</f>
        <v/>
      </c>
      <c r="V26" s="20" t="str">
        <f>IF(AND(V$4&gt;=$C26,V$4&lt;=$D26),$G26,"")</f>
        <v/>
      </c>
      <c r="W26" s="20" t="str">
        <f>IF(AND(W$4&gt;=$C26,W$4&lt;=$D26),$G26,"")</f>
        <v/>
      </c>
      <c r="X26" s="20" t="str">
        <f t="shared" si="3"/>
        <v/>
      </c>
      <c r="Y26" s="20" t="str">
        <f>IF(AND(Y$4&gt;=$C26,Y$4&lt;=$D26),$G26,"")</f>
        <v/>
      </c>
      <c r="Z26" s="20" t="str">
        <f>IF(AND(Z$4&gt;=$C26,Z$4&lt;=$D26),$G26,"")</f>
        <v/>
      </c>
      <c r="AA26" s="20" t="str">
        <f>IF(AND(AA$4&gt;=$C26,AA$4&lt;=$D26),$G26,"")</f>
        <v/>
      </c>
    </row>
    <row r="27" spans="1:27" s="14" customFormat="1" ht="17" thickBot="1" x14ac:dyDescent="0.25">
      <c r="C27" s="15"/>
      <c r="D27" s="15"/>
      <c r="F27" s="27" t="str" cm="1">
        <f t="array" ref="F27">_xlfn.SWITCH(G27,"NOT STARTED",0,"EXP N1",25,"EXP N2",50,"ANALYSIS",75,"REORDER",25,"DONE",100,H47,"")</f>
        <v/>
      </c>
      <c r="G27" s="16"/>
      <c r="I27" s="17" t="str">
        <f>IF(AND(I$4&gt;=$C27,I$4&lt;=$D27),$G27,"")</f>
        <v/>
      </c>
      <c r="J27" s="17" t="str">
        <f>IF(AND(J$4&gt;=$C27,J$4&lt;=$D27),$G27,"")</f>
        <v/>
      </c>
      <c r="K27" s="17" t="str">
        <f>IF(AND(K$4&gt;=$C27,K$4&lt;=$D27),$G27,"")</f>
        <v/>
      </c>
      <c r="L27" s="17" t="str">
        <f>IF(AND(L$4&gt;=$C27,L$4&lt;=$D27),$G27,"")</f>
        <v/>
      </c>
      <c r="M27" s="17" t="str">
        <f>IF(AND(M$4&gt;=$C27,M$4&lt;=$D27),$G27,"")</f>
        <v/>
      </c>
      <c r="N27" s="17" t="str">
        <f>IF(AND(N$4&gt;=$C27,N$4&lt;=$D27),$G27,"")</f>
        <v/>
      </c>
      <c r="O27" s="17" t="str">
        <f>IF(AND(O$4&gt;=$C27,O$4&lt;=$D27),$G27,"")</f>
        <v/>
      </c>
      <c r="P27" s="17" t="str">
        <f>IF(AND(P$4&gt;=$C27,P$4&lt;=$D27),$G27,"")</f>
        <v/>
      </c>
      <c r="Q27" s="17" t="str">
        <f>IF(AND(Q$4&gt;=$C27,Q$4&lt;=$D27),$G27,"")</f>
        <v/>
      </c>
      <c r="R27" s="17" t="str">
        <f>IF(AND(R$4&gt;=$C27,R$4&lt;=$D27),$G27,"")</f>
        <v/>
      </c>
      <c r="S27" s="17" t="str">
        <f>IF(AND(S$4&gt;=$C27,S$4&lt;=$D27),$G27,"")</f>
        <v/>
      </c>
      <c r="T27" s="17" t="str">
        <f>IF(AND(T$4&gt;=$C27,T$4&lt;=$D27),$G27,"")</f>
        <v/>
      </c>
      <c r="U27" s="17" t="str">
        <f>IF(AND(U$4&gt;=$C27,U$4&lt;=$D27),$G27,"")</f>
        <v/>
      </c>
      <c r="V27" s="17" t="str">
        <f>IF(AND(V$4&gt;=$C27,V$4&lt;=$D27),$G27,"")</f>
        <v/>
      </c>
      <c r="W27" s="17" t="str">
        <f>IF(AND(W$4&gt;=$C27,W$4&lt;=$D27),$G27,"")</f>
        <v/>
      </c>
      <c r="X27" s="17" t="str">
        <f t="shared" si="3"/>
        <v/>
      </c>
      <c r="Y27" s="17" t="str">
        <f>IF(AND(Y$4&gt;=$C27,Y$4&lt;=$D27),$G27,"")</f>
        <v/>
      </c>
      <c r="Z27" s="17" t="str">
        <f>IF(AND(Z$4&gt;=$C27,Z$4&lt;=$D27),$G27,"")</f>
        <v/>
      </c>
      <c r="AA27" s="17" t="str">
        <f>IF(AND(AA$4&gt;=$C27,AA$4&lt;=$D27),$G27,"")</f>
        <v/>
      </c>
    </row>
  </sheetData>
  <mergeCells count="6">
    <mergeCell ref="B3:B4"/>
    <mergeCell ref="C3:C4"/>
    <mergeCell ref="D3:D4"/>
    <mergeCell ref="E3:E4"/>
    <mergeCell ref="G3:G4"/>
    <mergeCell ref="F3:F4"/>
  </mergeCells>
  <phoneticPr fontId="11" type="noConversion"/>
  <conditionalFormatting sqref="H5:AA27">
    <cfRule type="containsText" dxfId="6" priority="2" stopIfTrue="1" operator="containsText" text="REORDER">
      <formula>NOT(ISERROR(SEARCH("REORDER",H5)))</formula>
    </cfRule>
    <cfRule type="containsText" dxfId="5" priority="3" stopIfTrue="1" operator="containsText" text="EXP N2">
      <formula>NOT(ISERROR(SEARCH("EXP N2",H5)))</formula>
    </cfRule>
    <cfRule type="containsText" dxfId="4" priority="4" operator="containsText" text="DONE">
      <formula>NOT(ISERROR(SEARCH("DONE",H5)))</formula>
    </cfRule>
    <cfRule type="containsText" dxfId="3" priority="5" operator="containsText" text="NOT STARTED">
      <formula>NOT(ISERROR(SEARCH("NOT STARTED",H5)))</formula>
    </cfRule>
    <cfRule type="containsText" dxfId="2" priority="6" operator="containsText" text="ANALYSIS">
      <formula>NOT(ISERROR(SEARCH("ANALYSIS",H5)))</formula>
    </cfRule>
    <cfRule type="containsText" dxfId="1" priority="7" operator="containsText" text="EXP N1">
      <formula>NOT(ISERROR(SEARCH("EXP N1",H5)))</formula>
    </cfRule>
  </conditionalFormatting>
  <conditionalFormatting sqref="H4:AA4">
    <cfRule type="timePeriod" dxfId="0" priority="1" stopIfTrue="1" timePeriod="thisWeek">
      <formula>AND(TODAY()-ROUNDDOWN(H4,0)&lt;=WEEKDAY(TODAY())-1,ROUNDDOWN(H4,0)-TODAY()&lt;=7-WEEKDAY(TODAY()))</formula>
    </cfRule>
  </conditionalFormatting>
  <dataValidations count="9">
    <dataValidation allowBlank="1" showInputMessage="1" showErrorMessage="1" prompt="Entrez le pourcentage d’achèvement du projet dans la colonne G, en commençant par la cellule G5" sqref="G3:G4" xr:uid="{903D9DD6-8450-7545-BDB9-9AE4F27ACAF6}"/>
    <dataValidation allowBlank="1" showInputMessage="1" showErrorMessage="1" prompt="Entrez la durée réelle dans la colonne F, en commençant par la cellule F5" sqref="E3:E4 F3" xr:uid="{BA35840C-1643-7E48-B021-EA94EF507A58}"/>
    <dataValidation allowBlank="1" showInputMessage="1" showErrorMessage="1" prompt="Entrez la durée du plan dans la colonne D, en commençant par la cellule D5" sqref="D3:D4" xr:uid="{595C1E0F-7CE9-DD46-96EF-D9E832389C13}"/>
    <dataValidation allowBlank="1" showInputMessage="1" showErrorMessage="1" prompt="Entrez la période de début du plan dans la colonne C, en commençant par la cellule C5" sqref="C3:C4" xr:uid="{CCDE4C4C-0F7B-F74F-A908-4FC4BE788487}"/>
    <dataValidation allowBlank="1" showInputMessage="1" showErrorMessage="1" prompt="Entrez l’activité dans la colonne B, en commençant par la cellule B5_x000a_" sqref="B3:B4" xr:uid="{61473DC4-3530-144D-A0C1-8957848FBD94}"/>
    <dataValidation allowBlank="1" showInputMessage="1" showErrorMessage="1" prompt="Les périodes sont représentées de 1 à 60, de la cellule H4 à la cellule BO4 " sqref="H3" xr:uid="{9D69477F-0DCE-7341-8B87-14228E10E755}"/>
    <dataValidation type="list" allowBlank="1" showInputMessage="1" showErrorMessage="1" sqref="G45:G1048576" xr:uid="{2666A565-C117-0246-9A35-D9D4DFD01C9F}">
      <mc:AlternateContent xmlns:x12ac="http://schemas.microsoft.com/office/spreadsheetml/2011/1/ac" xmlns:mc="http://schemas.openxmlformats.org/markup-compatibility/2006">
        <mc:Choice Requires="x12ac">
          <x12ac:list>"DONE, STILL RUNING"</x12ac:list>
        </mc:Choice>
        <mc:Fallback>
          <formula1>"DONE, STILL RUNING"</formula1>
        </mc:Fallback>
      </mc:AlternateContent>
    </dataValidation>
    <dataValidation type="list" allowBlank="1" showInputMessage="1" showErrorMessage="1" sqref="G8:G44" xr:uid="{FA9D9ABD-8E51-FE46-B249-54E1D9661A01}">
      <formula1>"NOT STARTED,EXP N1,EXP N2, ANALYSIS,DONE"</formula1>
    </dataValidation>
    <dataValidation type="list" allowBlank="1" showInputMessage="1" showErrorMessage="1" sqref="G5:G7" xr:uid="{A45581D3-3D80-5842-85ED-0813A32DE424}">
      <formula1>"NOT STARTED,EXP N1,EXP N2, ANALYSIS,DONE,REORDER"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Colline Bousquet</dc:creator>
  <cp:lastModifiedBy>Colline Bousquet</cp:lastModifiedBy>
  <dcterms:created xsi:type="dcterms:W3CDTF">2023-11-10T19:12:11Z</dcterms:created>
  <dcterms:modified xsi:type="dcterms:W3CDTF">2023-11-10T20:49:19Z</dcterms:modified>
</cp:coreProperties>
</file>